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showInkAnnotation="0" autoCompressPictures="0"/>
  <xr:revisionPtr revIDLastSave="1" documentId="11_F830323FB933C4A594FEC199A3113A5E6734B5F3" xr6:coauthVersionLast="47" xr6:coauthVersionMax="47" xr10:uidLastSave="{A60591CA-2DE1-4688-9DFE-3DA18D162006}"/>
  <bookViews>
    <workbookView xWindow="0" yWindow="0" windowWidth="0" windowHeight="0" xr2:uid="{00000000-000D-0000-FFFF-FFFF00000000}"/>
  </bookViews>
  <sheets>
    <sheet name="Resumen" sheetId="1" r:id="rId1"/>
    <sheet name="PMO" sheetId="2" r:id="rId2"/>
    <sheet name="Investigacion" sheetId="3" r:id="rId3"/>
    <sheet name="Proyecto_MVP" sheetId="4" r:id="rId4"/>
    <sheet name="Alcance_MVP" sheetId="5" r:id="rId5"/>
    <sheet name="Gantt" sheetId="6" r:id="rId6"/>
    <sheet name="Riesgos" sheetId="7" r:id="rId7"/>
    <sheet name="RACI" sheetId="8" r:id="rId8"/>
    <sheet name="Bitacora" sheetId="9" r:id="rId9"/>
    <sheet name="Supuestos" sheetId="10" r:id="rId10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10" i="1"/>
</calcChain>
</file>

<file path=xl/sharedStrings.xml><?xml version="1.0" encoding="utf-8"?>
<sst xmlns="http://schemas.openxmlformats.org/spreadsheetml/2006/main" count="1252" uniqueCount="345">
  <si>
    <t>PMO Equipo 1 - Tema 4: TutorIA e Investigación</t>
  </si>
  <si>
    <t>Campo</t>
  </si>
  <si>
    <t>Valor</t>
  </si>
  <si>
    <t>Indicador</t>
  </si>
  <si>
    <t>Equipo</t>
  </si>
  <si>
    <t>Rol principal</t>
  </si>
  <si>
    <t>Fecha de actualización</t>
  </si>
  <si>
    <t>2026-06-17</t>
  </si>
  <si>
    <t>Tareas totales</t>
  </si>
  <si>
    <t>Miguel Alejandro Fernández Arteaga</t>
  </si>
  <si>
    <t>Arquitectura, backend, IA, PMO e indicadores ILIA</t>
  </si>
  <si>
    <t>Equipo 1 - 2 integrantes</t>
  </si>
  <si>
    <t>Investigación</t>
  </si>
  <si>
    <t>Roberto José Rojas García</t>
  </si>
  <si>
    <t>Documentación, APA 7, frontend base, evidencias y presentación</t>
  </si>
  <si>
    <t>Tema 4 - Brecha digital y desigualdad en IA</t>
  </si>
  <si>
    <t>Proyecto</t>
  </si>
  <si>
    <t>Tema 4 - Tutor inteligente adaptativo mediante IA local</t>
  </si>
  <si>
    <t>Completadas</t>
  </si>
  <si>
    <t>Entrega investigación</t>
  </si>
  <si>
    <t>2026-07-01</t>
  </si>
  <si>
    <t>En curso</t>
  </si>
  <si>
    <t>Entrega proyecto</t>
  </si>
  <si>
    <t>2026-08-12</t>
  </si>
  <si>
    <t>No iniciadas</t>
  </si>
  <si>
    <t>MVP adelanto</t>
  </si>
  <si>
    <t>Flask + Foundation Models + streaming + pytest aprobado</t>
  </si>
  <si>
    <t>Avance ponderado</t>
  </si>
  <si>
    <t>Ruta MVP real</t>
  </si>
  <si>
    <t>/Volumes/projects/proyectos/UIA/Herramientas_desarrollo_software/mvp_minimo</t>
  </si>
  <si>
    <t>Riesgos altos</t>
  </si>
  <si>
    <t>Decisión clave</t>
  </si>
  <si>
    <t>Se elimina cuarto integrante; PMO queda para Miguel y Roberto.</t>
  </si>
  <si>
    <t>Pruebas MVP</t>
  </si>
  <si>
    <t>5/5 aprobadas el 2026-06-17</t>
  </si>
  <si>
    <t>Próxima acción</t>
  </si>
  <si>
    <t>Cerrar integración del informe de investigación y detallar alcance técnico del proyecto.</t>
  </si>
  <si>
    <t>Frente</t>
  </si>
  <si>
    <t>Avance promedio</t>
  </si>
  <si>
    <t>General</t>
  </si>
  <si>
    <t>ID</t>
  </si>
  <si>
    <t>Descripción de actividad</t>
  </si>
  <si>
    <t>Fecha inicio</t>
  </si>
  <si>
    <t>Fecha fin</t>
  </si>
  <si>
    <t>% avance</t>
  </si>
  <si>
    <t>Responsable</t>
  </si>
  <si>
    <t>Estado</t>
  </si>
  <si>
    <t>Entregable / evidencia</t>
  </si>
  <si>
    <t>Bloqueante o dependencia</t>
  </si>
  <si>
    <t>Ruta del entregable</t>
  </si>
  <si>
    <t>I-001</t>
  </si>
  <si>
    <t>Reconfirmar equipo, tema 4 y entregables oficiales</t>
  </si>
  <si>
    <t>2026-06-11</t>
  </si>
  <si>
    <t>Miguel / Roberto</t>
  </si>
  <si>
    <t>Completado</t>
  </si>
  <si>
    <t>Equipo definitivo de 2 integrantes</t>
  </si>
  <si>
    <t>Sin bloqueante</t>
  </si>
  <si>
    <t>PMO central</t>
  </si>
  <si>
    <t>I-002</t>
  </si>
  <si>
    <t>Consolidar fuentes oficiales ILIA 2025, CEPAL y CENIA</t>
  </si>
  <si>
    <t>2026-06-18</t>
  </si>
  <si>
    <t>Fuentes_y_Comparativa_ILIA.xlsx</t>
  </si>
  <si>
    <t>Investigacion/Fuentes_y_Comparativa_ILIA.xlsx</t>
  </si>
  <si>
    <t>I-003</t>
  </si>
  <si>
    <t>Registrar resultados ILIA por país: puntaje, posición y clasificación</t>
  </si>
  <si>
    <t>2026-06-20</t>
  </si>
  <si>
    <t>Tabla comparativa regional</t>
  </si>
  <si>
    <t>I-004</t>
  </si>
  <si>
    <t>Analizar factores socioeconómicos: PIB pc, IDH, conectividad e I+D</t>
  </si>
  <si>
    <t>2026-06-22</t>
  </si>
  <si>
    <t>Subsección del informe</t>
  </si>
  <si>
    <t>Investigacion/Informe_Investigacion_Tema4_APA7.docx</t>
  </si>
  <si>
    <t>I-005</t>
  </si>
  <si>
    <t>Redactar introducción, objetivo general y objetivos específicos</t>
  </si>
  <si>
    <t>2026-06-21</t>
  </si>
  <si>
    <t>Borrador APA 7</t>
  </si>
  <si>
    <t>Requiere revisión del enfoque</t>
  </si>
  <si>
    <t>I-006</t>
  </si>
  <si>
    <t>Investigar infraestructura tecnológica y conectividad regional</t>
  </si>
  <si>
    <t>2026-06-23</t>
  </si>
  <si>
    <t>Subsección de infraestructura</t>
  </si>
  <si>
    <t>I-007</t>
  </si>
  <si>
    <t>Investigar distribución del talento digital y brechas de formación</t>
  </si>
  <si>
    <t>2026-06-24</t>
  </si>
  <si>
    <t>Subsección de talento digital</t>
  </si>
  <si>
    <t>I-008</t>
  </si>
  <si>
    <t>Integrar diagnóstico regional con comparación de líderes, adoptantes y rezagados</t>
  </si>
  <si>
    <t>2026-06-25</t>
  </si>
  <si>
    <t>No iniciado</t>
  </si>
  <si>
    <t>Diagnóstico regional</t>
  </si>
  <si>
    <t>Depende de I-006 e I-007</t>
  </si>
  <si>
    <t>I-009</t>
  </si>
  <si>
    <t>Proponer recomendaciones de política pública</t>
  </si>
  <si>
    <t>2026-06-26</t>
  </si>
  <si>
    <t>Recomendaciones</t>
  </si>
  <si>
    <t>Depende del diagnóstico</t>
  </si>
  <si>
    <t>I-010</t>
  </si>
  <si>
    <t>Normalizar referencias en formato APA 7</t>
  </si>
  <si>
    <t>2026-06-27</t>
  </si>
  <si>
    <t>Bibliografía APA 7</t>
  </si>
  <si>
    <t>I-011</t>
  </si>
  <si>
    <t>Preparar presentación de investigación y reparto de exposición</t>
  </si>
  <si>
    <t>2026-06-29</t>
  </si>
  <si>
    <t>Presentacion_Investigacion.pptx</t>
  </si>
  <si>
    <t>Depende del informe integrado</t>
  </si>
  <si>
    <t>Investigacion/Presentacion_Investigacion.pptx</t>
  </si>
  <si>
    <t>I-012</t>
  </si>
  <si>
    <t>Revisión final del informe, ortografía, coherencia y anexos</t>
  </si>
  <si>
    <t>2026-06-28</t>
  </si>
  <si>
    <t>2026-06-30</t>
  </si>
  <si>
    <t>Informe listo para entrega</t>
  </si>
  <si>
    <t>Depende de redacción completa</t>
  </si>
  <si>
    <t>I-013</t>
  </si>
  <si>
    <t>Entrega de investigación Tema 4</t>
  </si>
  <si>
    <t>Entrega plataforma</t>
  </si>
  <si>
    <t>Fecha fija</t>
  </si>
  <si>
    <t>Investigacion</t>
  </si>
  <si>
    <t>P-001</t>
  </si>
  <si>
    <t>Definir alcance MVP TutorIA y restricciones de 3 meses</t>
  </si>
  <si>
    <t>Alcance MVP documentado</t>
  </si>
  <si>
    <t>Proyecto/Informe_Proyecto_TutorIA_APA7.docx</t>
  </si>
  <si>
    <t>P-002</t>
  </si>
  <si>
    <t>Documentar arquitectura abstracta de proveedores IA</t>
  </si>
  <si>
    <t>2026-06-09</t>
  </si>
  <si>
    <t>ADR-001 y documentación técnica</t>
  </si>
  <si>
    <t>/Volumes/projects/proyectos/UIA/Herramientas_desarrollo_software/ADR_001_Arquitectura_Abstracta_Proveedores_IA.md</t>
  </si>
  <si>
    <t>P-003</t>
  </si>
  <si>
    <t>Crear MVP mínimo Flask + chat streaming + Foundation Models</t>
  </si>
  <si>
    <t>mvp_minimo funcional</t>
  </si>
  <si>
    <t>Requiere Mac compatible para demo FM</t>
  </si>
  <si>
    <t>P-004</t>
  </si>
  <si>
    <t>Configurar levantamiento automático de Flask y fm serve</t>
  </si>
  <si>
    <t>run.sh e Iniciar_TutorIA.command</t>
  </si>
  <si>
    <t>Requiere comando fm disponible</t>
  </si>
  <si>
    <t>/Volumes/projects/proyectos/UIA/Herramientas_desarrollo_software/mvp_minimo/run.sh</t>
  </si>
  <si>
    <t>P-005</t>
  </si>
  <si>
    <t>Probar MVP mínimo con pytest</t>
  </si>
  <si>
    <t>5 pruebas aprobadas</t>
  </si>
  <si>
    <t>/Volumes/projects/proyectos/UIA/Herramientas_desarrollo_software/mvp_minimo/tests/test_app.py</t>
  </si>
  <si>
    <t>P-006</t>
  </si>
  <si>
    <t>Diseñar base de datos SQLite y modelos SQLAlchemy</t>
  </si>
  <si>
    <t>Modelo de datos</t>
  </si>
  <si>
    <t>Depende del alcance detallado</t>
  </si>
  <si>
    <t>P-007</t>
  </si>
  <si>
    <t>Implementar autenticación con Flask-Login y roles</t>
  </si>
  <si>
    <t>2026-07-08</t>
  </si>
  <si>
    <t>Login + roles admin/docente/estudiante</t>
  </si>
  <si>
    <t>Depende de P-006</t>
  </si>
  <si>
    <t>P-008</t>
  </si>
  <si>
    <t>Implementar 2FA por correo con Resend</t>
  </si>
  <si>
    <t>2026-07-06</t>
  </si>
  <si>
    <t>2026-07-13</t>
  </si>
  <si>
    <t>Código 6 dígitos, hash, expiración, intentos</t>
  </si>
  <si>
    <t>Depende de cuenta/API Resend</t>
  </si>
  <si>
    <t>P-009</t>
  </si>
  <si>
    <t>Crear pantallas base Jinja2 + Bootstrap 5</t>
  </si>
  <si>
    <t>2026-07-12</t>
  </si>
  <si>
    <t>Layout y vistas base</t>
  </si>
  <si>
    <t>Depende de rutas principales</t>
  </si>
  <si>
    <t>P-010</t>
  </si>
  <si>
    <t>CRUD de estudiantes</t>
  </si>
  <si>
    <t>2026-07-10</t>
  </si>
  <si>
    <t>2026-07-18</t>
  </si>
  <si>
    <t>Gestión de estudiantes</t>
  </si>
  <si>
    <t>Depende de P-006 y P-009</t>
  </si>
  <si>
    <t>P-011</t>
  </si>
  <si>
    <t>CRUD de contenidos educativos</t>
  </si>
  <si>
    <t>2026-07-15</t>
  </si>
  <si>
    <t>2026-07-23</t>
  </si>
  <si>
    <t>Gestión de contenidos</t>
  </si>
  <si>
    <t>P-012</t>
  </si>
  <si>
    <t>Crear evaluación diagnóstica y persistencia de respuestas</t>
  </si>
  <si>
    <t>2026-07-22</t>
  </si>
  <si>
    <t>2026-07-31</t>
  </si>
  <si>
    <t>Evaluación diagnóstica</t>
  </si>
  <si>
    <t>Depende de P-010</t>
  </si>
  <si>
    <t>P-013</t>
  </si>
  <si>
    <t>Integrar proveedor IA para clasificación básico/intermedio/avanzado</t>
  </si>
  <si>
    <t>2026-07-24</t>
  </si>
  <si>
    <t>2026-08-02</t>
  </si>
  <si>
    <t>Servicio IA reusable</t>
  </si>
  <si>
    <t>Depende de P-012</t>
  </si>
  <si>
    <t>P-014</t>
  </si>
  <si>
    <t>Implementar recomendaciones por nivel</t>
  </si>
  <si>
    <t>2026-08-05</t>
  </si>
  <si>
    <t>Recomendaciones visibles</t>
  </si>
  <si>
    <t>Depende de P-011 y P-013</t>
  </si>
  <si>
    <t>P-015</t>
  </si>
  <si>
    <t>Crear bitácora de transacciones</t>
  </si>
  <si>
    <t>2026-08-01</t>
  </si>
  <si>
    <t>2026-08-06</t>
  </si>
  <si>
    <t>Registro de acciones importantes</t>
  </si>
  <si>
    <t>Depende de auth y CRUD</t>
  </si>
  <si>
    <t>P-016</t>
  </si>
  <si>
    <t>Crear reportes básicos de progreso</t>
  </si>
  <si>
    <t>2026-08-03</t>
  </si>
  <si>
    <t>2026-08-08</t>
  </si>
  <si>
    <t>Reportes de estudiante/evaluaciones/nivel</t>
  </si>
  <si>
    <t>Depende de evaluación y recomendaciones</t>
  </si>
  <si>
    <t>P-017</t>
  </si>
  <si>
    <t>Ejecutar pruebas funcionales y registrar evidencias</t>
  </si>
  <si>
    <t>2026-08-10</t>
  </si>
  <si>
    <t>Casos_Prueba_TutorIA.xlsx</t>
  </si>
  <si>
    <t>Depende de módulos integrados</t>
  </si>
  <si>
    <t>Proyecto/Casos_Prueba_TutorIA.xlsx</t>
  </si>
  <si>
    <t>P-018</t>
  </si>
  <si>
    <t>Completar informe técnico del proyecto</t>
  </si>
  <si>
    <t>2026-07-20</t>
  </si>
  <si>
    <t>Informe APA 7 del proyecto</t>
  </si>
  <si>
    <t>Depende de decisiones técnicas</t>
  </si>
  <si>
    <t>P-019</t>
  </si>
  <si>
    <t>Preparar demo, presentación y guion</t>
  </si>
  <si>
    <t>Presentación final</t>
  </si>
  <si>
    <t>Depende de MVP integrado</t>
  </si>
  <si>
    <t>Proyecto/Presentacion_Proyecto.pptx</t>
  </si>
  <si>
    <t>P-020</t>
  </si>
  <si>
    <t>Entrega final del proyecto TutorIA</t>
  </si>
  <si>
    <t>Alcance MVP TutorIA</t>
  </si>
  <si>
    <t>Módulo MVP</t>
  </si>
  <si>
    <t>Incluido</t>
  </si>
  <si>
    <t>Responsable líder</t>
  </si>
  <si>
    <t>Criterio de aceptación</t>
  </si>
  <si>
    <t>Usuarios y roles</t>
  </si>
  <si>
    <t>Sí</t>
  </si>
  <si>
    <t>Administrador, docente y estudiante con permisos básicos.</t>
  </si>
  <si>
    <t>Planificado</t>
  </si>
  <si>
    <t>Autenticación</t>
  </si>
  <si>
    <t>Login con usuario/contraseña usando Flask-Login.</t>
  </si>
  <si>
    <t>2FA correo Resend</t>
  </si>
  <si>
    <t>Código de 6 dígitos, hash, expiración 10 min, máximo 3 intentos y usado/no usado.</t>
  </si>
  <si>
    <t>Bitácora de transacciones</t>
  </si>
  <si>
    <t>Registra login, 2FA, CRUD, evaluación y recomendaciones.</t>
  </si>
  <si>
    <t>CRUD con nombre, edad, centro educativo, área de interés y nivel.</t>
  </si>
  <si>
    <t>CRUD con título, tema, nivel, competencia y descripción.</t>
  </si>
  <si>
    <t>Preguntas, respuestas, envío a IA y clasificación.</t>
  </si>
  <si>
    <t>Proveedor IA abstracto</t>
  </si>
  <si>
    <t>La app no asume usuario local ni proveedor único; admite variantes.</t>
  </si>
  <si>
    <t>Adelanto funcional</t>
  </si>
  <si>
    <t>Foundation Models chat mínimo</t>
  </si>
  <si>
    <t>Sí, como adelanto</t>
  </si>
  <si>
    <t>Chat streaming con fm serve administrado por la app.</t>
  </si>
  <si>
    <t>Ollama</t>
  </si>
  <si>
    <t>Sí, contingencia</t>
  </si>
  <si>
    <t>Documentado como proveedor alternativo para portabilidad.</t>
  </si>
  <si>
    <t>Pendiente implementación</t>
  </si>
  <si>
    <t>Reportes básicos</t>
  </si>
  <si>
    <t>Progreso, cantidad de evaluaciones, nivel actual y contenidos recomendados.</t>
  </si>
  <si>
    <t>Pagos, LMS completo, app móvil, analítica avanzada</t>
  </si>
  <si>
    <t>No</t>
  </si>
  <si>
    <t>Fuera de alcance para mantener MVP defendible.</t>
  </si>
  <si>
    <t>Excluido</t>
  </si>
  <si>
    <t>Actividad</t>
  </si>
  <si>
    <t>Inicio</t>
  </si>
  <si>
    <t>Fin</t>
  </si>
  <si>
    <t>%</t>
  </si>
  <si>
    <t>2026-07-29</t>
  </si>
  <si>
    <t>■</t>
  </si>
  <si>
    <t>Riesgo</t>
  </si>
  <si>
    <t>Probabilidad</t>
  </si>
  <si>
    <t>Impacto</t>
  </si>
  <si>
    <t>Nivel</t>
  </si>
  <si>
    <t>Mitigación</t>
  </si>
  <si>
    <t>R-001</t>
  </si>
  <si>
    <t>Alcance excesivo del MVP</t>
  </si>
  <si>
    <t>Alta</t>
  </si>
  <si>
    <t>Alto</t>
  </si>
  <si>
    <t>Congelar módulos: usuarios, roles, 2FA, estudiantes, contenidos, diagnóstico, recomendaciones y reportes básicos.</t>
  </si>
  <si>
    <t>Abierto</t>
  </si>
  <si>
    <t>R-002</t>
  </si>
  <si>
    <t>Foundation Models requiere macOS 27 y Mac compatible</t>
  </si>
  <si>
    <t>Media</t>
  </si>
  <si>
    <t>Mantener Ollama como contingencia documentada y preparar demo en equipo compatible.</t>
  </si>
  <si>
    <t>R-003</t>
  </si>
  <si>
    <t>Resend puede fallar o requerir configuración de dominio/API</t>
  </si>
  <si>
    <t>Medio</t>
  </si>
  <si>
    <t>Usar .env.example, modo desarrollo y logs; permitir demo controlada si correo real falla.</t>
  </si>
  <si>
    <t>R-004</t>
  </si>
  <si>
    <t>Solo dos integrantes para desarrollo, documentación y pruebas</t>
  </si>
  <si>
    <t>Dividir entregables pequeños, priorizar MVP y registrar avance semanal.</t>
  </si>
  <si>
    <t>R-005</t>
  </si>
  <si>
    <t>Fuentes incompletas o citas APA 7 deficientes</t>
  </si>
  <si>
    <t>Usar fuentes oficiales ILIA, CEPAL/CENIA y controlar URL/año/fecha de consulta.</t>
  </si>
  <si>
    <t>R-006</t>
  </si>
  <si>
    <t>Retraso de integración del informe antes del 2026-07-01</t>
  </si>
  <si>
    <t>Cerrar borrador integrado el 2026-06-27 y dejar 2026-06-28 a 2026-06-30 para revisión.</t>
  </si>
  <si>
    <t>R-007</t>
  </si>
  <si>
    <t>Sobrecarga de Miguel por investigación y backend IA</t>
  </si>
  <si>
    <t>Roberto asume documentación, presentación, frontend base y evidencias de pruebas.</t>
  </si>
  <si>
    <t>Entregable / actividad</t>
  </si>
  <si>
    <t>Notas</t>
  </si>
  <si>
    <t>PMO y seguimiento general</t>
  </si>
  <si>
    <t>R/A</t>
  </si>
  <si>
    <t>C</t>
  </si>
  <si>
    <t>Miguel mantiene control central y Roberto valida entregables.</t>
  </si>
  <si>
    <t>Investigación ILIA y factores socioeconómicos</t>
  </si>
  <si>
    <t>Miguel consolida indicadores, puntajes y análisis económico-social.</t>
  </si>
  <si>
    <t>Infraestructura, talento, redacción y APA 7</t>
  </si>
  <si>
    <t>Roberto completa secciones, estilo académico y referencias.</t>
  </si>
  <si>
    <t>Arquitectura técnica e integración IA</t>
  </si>
  <si>
    <t>Proveedor abstracto; Foundation Models principal, Ollama contingencia.</t>
  </si>
  <si>
    <t>Backend, base de datos y seguridad</t>
  </si>
  <si>
    <t>Flask, SQLAlchemy, Flask-Login, 2FA y bitácora.</t>
  </si>
  <si>
    <t>Frontend Bootstrap, informes y presentación</t>
  </si>
  <si>
    <t>Pantallas simples, documentación y exposición.</t>
  </si>
  <si>
    <t>Pruebas y evidencias</t>
  </si>
  <si>
    <t>R</t>
  </si>
  <si>
    <t>Miguel automatiza; Roberto organiza casos, resultados y anexos.</t>
  </si>
  <si>
    <t>Demo final</t>
  </si>
  <si>
    <t>Ambos ensayan y presentan partes técnicas/académicas.</t>
  </si>
  <si>
    <t>Fecha</t>
  </si>
  <si>
    <t>Resultado / avance</t>
  </si>
  <si>
    <t>Evidencia</t>
  </si>
  <si>
    <t>Observaciones</t>
  </si>
  <si>
    <t>Redistribución del equipo</t>
  </si>
  <si>
    <t>Se elimina cuarto integrante y se divide trabajo entre Miguel y Roberto.</t>
  </si>
  <si>
    <t>Decisión del equipo</t>
  </si>
  <si>
    <t>PMO actualizado para 2 integrantes.</t>
  </si>
  <si>
    <t>Verificación del MVP mínimo real</t>
  </si>
  <si>
    <t>Se localizó MVP en /Volumes/projects y se ejecutaron pruebas.</t>
  </si>
  <si>
    <t>pytest: 5 passed</t>
  </si>
  <si>
    <t>La carpeta de OneDrive no era la fuente real del MVP.</t>
  </si>
  <si>
    <t>Creación de PMO consolidado</t>
  </si>
  <si>
    <t>Se crea workbook con investigación, proyecto, MVP, riesgos, RACI y Gantt.</t>
  </si>
  <si>
    <t>PMO_Equipo1_Tema4_2Integrantes.xlsx</t>
  </si>
  <si>
    <t>Documento de control central.</t>
  </si>
  <si>
    <t>Categoría</t>
  </si>
  <si>
    <t>Supuesto / decisión</t>
  </si>
  <si>
    <t>Justificación</t>
  </si>
  <si>
    <t>El equipo queda conformado solo por Roberto José Rojas García y Miguel Alejandro Fernández Arteaga.</t>
  </si>
  <si>
    <t>Solicitud del usuario y realidad actual del equipo.</t>
  </si>
  <si>
    <t>Tema 4: Brecha digital y desigualdad en IA.</t>
  </si>
  <si>
    <t>Asignación del Equipo 1.</t>
  </si>
  <si>
    <t>Tema 4: TutorIA, tutor inteligente adaptativo mediante IA local.</t>
  </si>
  <si>
    <t>MVP real</t>
  </si>
  <si>
    <t>La evidencia del MVP está en /Volumes/projects/proyectos/UIA/Herramientas_desarrollo_software.</t>
  </si>
  <si>
    <t>La carpeta mvp_minimo de OneDrive está incompleta.</t>
  </si>
  <si>
    <t>IA</t>
  </si>
  <si>
    <t>Foundation Models se considera proveedor principal para el adelanto; Ollama queda como contingencia.</t>
  </si>
  <si>
    <t>Decisión técnica discutida para mantener abstracción y portabilidad.</t>
  </si>
  <si>
    <t>Fechas</t>
  </si>
  <si>
    <t>Investigación vence el 2026-07-01 y proyecto vence el 2026-08-12.</t>
  </si>
  <si>
    <t>Fechas registradas en los enunciados previos.</t>
  </si>
  <si>
    <t>Alcance</t>
  </si>
  <si>
    <t>No se agregan módulos fuera del MVP.</t>
  </si>
  <si>
    <t>El equipo tiene solo dos integrantes y debe defender el proyecto en 3 meses.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</si>
</sst>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theme="0"/>
      <name val="Carlito"/>
    </font>
    <font>
      <b/>
      <sz val="11"/>
      <color theme="0"/>
      <name val="Carlito"/>
    </font>
    <font>
      <sz val="11"/>
      <color rgb="FF1F2933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rgb="FFB8C7D9"/>
      </left>
      <right/>
      <top style="thin">
        <color rgb="FFB8C7D9"/>
      </top>
      <bottom style="thin">
        <color rgb="FFB8C7D9"/>
      </bottom>
      <diagonal/>
    </border>
    <border>
      <left/>
      <right/>
      <top style="thin">
        <color rgb="FFB8C7D9"/>
      </top>
      <bottom style="thin">
        <color rgb="FFB8C7D9"/>
      </bottom>
      <diagonal/>
    </border>
    <border>
      <left/>
      <right style="thin">
        <color rgb="FFB8C7D9"/>
      </right>
      <top style="thin">
        <color rgb="FFB8C7D9"/>
      </top>
      <bottom style="thin">
        <color rgb="FFB8C7D9"/>
      </bottom>
      <diagonal/>
    </border>
    <border>
      <left style="thin">
        <color rgb="FFD9E2EC"/>
      </left>
      <right/>
      <top style="thin">
        <color rgb="FFD9E2EC"/>
      </top>
      <bottom/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top" wrapText="1"/>
    </xf>
    <xf numFmtId="9" fontId="3" fillId="0" borderId="0" xfId="0" applyNumberFormat="1" applyFont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9" fontId="3" fillId="0" borderId="5" xfId="0" applyNumberFormat="1" applyFont="1" applyBorder="1" applyAlignment="1">
      <alignment vertical="top" wrapText="1"/>
    </xf>
    <xf numFmtId="9" fontId="3" fillId="0" borderId="10" xfId="0" applyNumberFormat="1" applyFont="1" applyBorder="1" applyAlignment="1">
      <alignment vertical="top" wrapText="1"/>
    </xf>
    <xf numFmtId="9" fontId="3" fillId="0" borderId="6" xfId="0" applyNumberFormat="1" applyFont="1" applyBorder="1" applyAlignment="1">
      <alignment vertical="top" wrapText="1"/>
    </xf>
    <xf numFmtId="9" fontId="3" fillId="0" borderId="8" xfId="0" applyNumberFormat="1" applyFont="1" applyBorder="1" applyAlignment="1">
      <alignment vertical="top" wrapText="1"/>
    </xf>
    <xf numFmtId="9" fontId="3" fillId="0" borderId="11" xfId="0" applyNumberFormat="1" applyFont="1" applyBorder="1" applyAlignment="1">
      <alignment vertical="top"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/>
              <a:t>Avance promedio por frente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Avance</c:v>
          </c:tx>
          <c:invertIfNegative val="1"/>
          <c:cat>
            <c:strLit>
              <c:ptCount val="3"/>
              <c:pt idx="0">
                <c:v>Investigación</c:v>
              </c:pt>
              <c:pt idx="1">
                <c:v>Proyecto</c:v>
              </c:pt>
              <c:pt idx="2">
                <c:v>General</c:v>
              </c:pt>
            </c:strLit>
          </c:cat>
          <c:val>
            <c:numLit>
              <c:formatCode>General</c:formatCode>
              <c:ptCount val="3"/>
              <c:pt idx="0">
                <c:v>0.38100000000000001</c:v>
              </c:pt>
              <c:pt idx="1">
                <c:v>0.23499999999999999</c:v>
              </c:pt>
              <c:pt idx="2">
                <c:v>0.29499999999999998</c:v>
              </c:pt>
            </c:numLit>
          </c:val>
          <c:extLst>
            <c:ext xmlns:c16="http://schemas.microsoft.com/office/drawing/2014/chart" uri="{C3380CC4-5D6E-409C-BE32-E72D297353CC}">
              <c16:uniqueId val="{00000000-C33C-4BDD-88CE-BF8122FDD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16</xdr:row>
      <xdr:rowOff>0</xdr:rowOff>
    </xdr:from>
    <xdr:ext cx="4953000" cy="24765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utorIA PMO">
  <a:themeElements>
    <a:clrScheme name="TutorIA PMO">
      <a:dk1>
        <a:srgbClr val="1F2933"/>
      </a:dk1>
      <a:lt1>
        <a:srgbClr val="FFFFFF"/>
      </a:lt1>
      <a:dk2>
        <a:srgbClr val="0E2841"/>
      </a:dk2>
      <a:lt2>
        <a:srgbClr val="EAF2F8"/>
      </a:lt2>
      <a:accent1>
        <a:srgbClr val="1F4E79"/>
      </a:accent1>
      <a:accent2>
        <a:srgbClr val="00A6A6"/>
      </a:accent2>
      <a:accent3>
        <a:srgbClr val="70AD47"/>
      </a:accent3>
      <a:accent4>
        <a:srgbClr val="FFC000"/>
      </a:accent4>
      <a:accent5>
        <a:srgbClr val="C00000"/>
      </a:accent5>
      <a:accent6>
        <a:srgbClr val="7030A0"/>
      </a:accent6>
      <a:hlink>
        <a:srgbClr val="1F4E79"/>
      </a:hlink>
      <a:folHlink>
        <a:srgbClr val="7030A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TutorIA PMO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zoomScaleSheetLayoutView="100" workbookViewId="0"/>
  </sheetViews>
  <sheetFormatPr defaultRowHeight="15"/>
  <cols>
    <col min="1" max="1" width="16.625" customWidth="1"/>
    <col min="2" max="2" width="36.625" customWidth="1"/>
    <col min="3" max="3" width="3.375" customWidth="1"/>
    <col min="4" max="4" width="16.625" customWidth="1"/>
    <col min="5" max="5" width="36.625" customWidth="1"/>
    <col min="6" max="6" width="3.375" customWidth="1"/>
    <col min="7" max="7" width="16.625" customWidth="1"/>
    <col min="8" max="8" width="36.625" customWidth="1"/>
  </cols>
  <sheetData>
    <row r="1" spans="1:8" ht="31.5" customHeight="1">
      <c r="A1" s="19" t="s">
        <v>0</v>
      </c>
      <c r="B1" s="19"/>
      <c r="C1" s="19"/>
      <c r="D1" s="19"/>
      <c r="E1" s="19"/>
      <c r="F1" s="19"/>
      <c r="G1" s="19"/>
      <c r="H1" s="19"/>
    </row>
    <row r="3" spans="1:8">
      <c r="A3" s="1" t="s">
        <v>1</v>
      </c>
      <c r="B3" s="2" t="s">
        <v>2</v>
      </c>
      <c r="C3" s="2"/>
      <c r="D3" s="2" t="s">
        <v>3</v>
      </c>
      <c r="E3" s="2" t="s">
        <v>2</v>
      </c>
      <c r="F3" s="2"/>
      <c r="G3" s="2" t="s">
        <v>4</v>
      </c>
      <c r="H3" s="3" t="s">
        <v>5</v>
      </c>
    </row>
    <row r="4" spans="1:8">
      <c r="A4" s="4" t="s">
        <v>6</v>
      </c>
      <c r="B4" s="5" t="s">
        <v>7</v>
      </c>
      <c r="C4" s="5"/>
      <c r="D4" s="5" t="s">
        <v>8</v>
      </c>
      <c r="E4" s="5">
        <v>33</v>
      </c>
      <c r="F4" s="5"/>
      <c r="G4" s="5" t="s">
        <v>9</v>
      </c>
      <c r="H4" s="6" t="s">
        <v>10</v>
      </c>
    </row>
    <row r="5" spans="1:8">
      <c r="A5" s="7" t="s">
        <v>4</v>
      </c>
      <c r="B5" s="8" t="s">
        <v>11</v>
      </c>
      <c r="C5" s="8"/>
      <c r="D5" s="8" t="s">
        <v>12</v>
      </c>
      <c r="E5" s="8">
        <v>13</v>
      </c>
      <c r="F5" s="8"/>
      <c r="G5" s="8" t="s">
        <v>13</v>
      </c>
      <c r="H5" s="9" t="s">
        <v>14</v>
      </c>
    </row>
    <row r="6" spans="1:8">
      <c r="A6" s="7" t="s">
        <v>12</v>
      </c>
      <c r="B6" s="8" t="s">
        <v>15</v>
      </c>
      <c r="C6" s="8"/>
      <c r="D6" s="8" t="s">
        <v>16</v>
      </c>
      <c r="E6" s="8">
        <v>20</v>
      </c>
      <c r="F6" s="8"/>
      <c r="G6" s="8"/>
      <c r="H6" s="9"/>
    </row>
    <row r="7" spans="1:8">
      <c r="A7" s="7" t="s">
        <v>16</v>
      </c>
      <c r="B7" s="8" t="s">
        <v>17</v>
      </c>
      <c r="C7" s="8"/>
      <c r="D7" s="8" t="s">
        <v>18</v>
      </c>
      <c r="E7" s="8">
        <v>2</v>
      </c>
      <c r="F7" s="8"/>
      <c r="G7" s="8"/>
      <c r="H7" s="9"/>
    </row>
    <row r="8" spans="1:8">
      <c r="A8" s="7" t="s">
        <v>19</v>
      </c>
      <c r="B8" s="8" t="s">
        <v>20</v>
      </c>
      <c r="C8" s="8"/>
      <c r="D8" s="8" t="s">
        <v>21</v>
      </c>
      <c r="E8" s="8">
        <v>17</v>
      </c>
      <c r="F8" s="8"/>
      <c r="G8" s="8"/>
      <c r="H8" s="9"/>
    </row>
    <row r="9" spans="1:8">
      <c r="A9" s="7" t="s">
        <v>22</v>
      </c>
      <c r="B9" s="8" t="s">
        <v>23</v>
      </c>
      <c r="C9" s="8"/>
      <c r="D9" s="8" t="s">
        <v>24</v>
      </c>
      <c r="E9" s="8">
        <v>14</v>
      </c>
      <c r="F9" s="8"/>
      <c r="G9" s="8"/>
      <c r="H9" s="9"/>
    </row>
    <row r="10" spans="1:8">
      <c r="A10" s="7" t="s">
        <v>25</v>
      </c>
      <c r="B10" s="8" t="s">
        <v>26</v>
      </c>
      <c r="C10" s="8"/>
      <c r="D10" s="8" t="s">
        <v>27</v>
      </c>
      <c r="E10" s="10">
        <f>AVERAGE(PMO!F2:F34)</f>
        <v>0.26060606060606073</v>
      </c>
      <c r="F10" s="8"/>
      <c r="G10" s="8"/>
      <c r="H10" s="9"/>
    </row>
    <row r="11" spans="1:8">
      <c r="A11" s="7" t="s">
        <v>28</v>
      </c>
      <c r="B11" s="8" t="s">
        <v>29</v>
      </c>
      <c r="C11" s="8"/>
      <c r="D11" s="8" t="s">
        <v>30</v>
      </c>
      <c r="E11" s="8">
        <v>3</v>
      </c>
      <c r="F11" s="8"/>
      <c r="G11" s="8"/>
      <c r="H11" s="9"/>
    </row>
    <row r="12" spans="1:8">
      <c r="A12" s="7" t="s">
        <v>31</v>
      </c>
      <c r="B12" s="8" t="s">
        <v>32</v>
      </c>
      <c r="C12" s="8"/>
      <c r="D12" s="8" t="s">
        <v>33</v>
      </c>
      <c r="E12" s="8" t="s">
        <v>34</v>
      </c>
      <c r="F12" s="8"/>
      <c r="G12" s="8"/>
      <c r="H12" s="9"/>
    </row>
    <row r="13" spans="1:8">
      <c r="A13" s="7" t="s">
        <v>35</v>
      </c>
      <c r="B13" s="8" t="s">
        <v>36</v>
      </c>
      <c r="C13" s="8"/>
      <c r="D13" s="8"/>
      <c r="E13" s="8"/>
      <c r="F13" s="8"/>
      <c r="G13" s="8"/>
      <c r="H13" s="9"/>
    </row>
    <row r="14" spans="1:8">
      <c r="A14" s="11"/>
      <c r="B14" s="12"/>
      <c r="C14" s="12"/>
      <c r="D14" s="12"/>
      <c r="E14" s="12"/>
      <c r="F14" s="12"/>
      <c r="G14" s="12"/>
      <c r="H14" s="13"/>
    </row>
    <row r="16" spans="1:8">
      <c r="D16" s="1" t="s">
        <v>37</v>
      </c>
      <c r="E16" s="3" t="s">
        <v>38</v>
      </c>
    </row>
    <row r="17" spans="4:5">
      <c r="D17" s="4" t="s">
        <v>12</v>
      </c>
      <c r="E17" s="16">
        <f>AVERAGEIF(PMO!B:B,"Investigación",PMO!F:F)</f>
        <v>0.30384615384615388</v>
      </c>
    </row>
    <row r="18" spans="4:5">
      <c r="D18" s="7" t="s">
        <v>16</v>
      </c>
      <c r="E18" s="17">
        <f>AVERAGEIF(PMO!B:B,"Proyecto",PMO!F:F)</f>
        <v>0.23249999999999998</v>
      </c>
    </row>
    <row r="19" spans="4:5">
      <c r="D19" s="11" t="s">
        <v>39</v>
      </c>
      <c r="E19" s="18">
        <f>AVERAGE(PMO!F:F)</f>
        <v>0.26060606060606073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zoomScaleSheetLayoutView="100" workbookViewId="0"/>
  </sheetViews>
  <sheetFormatPr defaultRowHeight="15"/>
  <cols>
    <col min="1" max="1" width="7.75" customWidth="1"/>
    <col min="2" max="2" width="12.25" customWidth="1"/>
    <col min="3" max="3" width="40" customWidth="1"/>
    <col min="4" max="5" width="11.625" customWidth="1"/>
    <col min="6" max="6" width="10" customWidth="1"/>
    <col min="7" max="7" width="27.75" customWidth="1"/>
    <col min="8" max="8" width="12.75" customWidth="1"/>
    <col min="9" max="9" width="26.625" customWidth="1"/>
    <col min="10" max="10" width="30" customWidth="1"/>
    <col min="11" max="11" width="40" customWidth="1"/>
  </cols>
  <sheetData>
    <row r="1" spans="1:11">
      <c r="A1" s="1" t="s">
        <v>40</v>
      </c>
      <c r="B1" s="2" t="s">
        <v>37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3" t="s">
        <v>49</v>
      </c>
    </row>
    <row r="2" spans="1:11">
      <c r="A2" s="4" t="s">
        <v>50</v>
      </c>
      <c r="B2" s="5" t="s">
        <v>12</v>
      </c>
      <c r="C2" s="5" t="s">
        <v>51</v>
      </c>
      <c r="D2" s="5" t="s">
        <v>52</v>
      </c>
      <c r="E2" s="5" t="s">
        <v>7</v>
      </c>
      <c r="F2" s="14">
        <v>1</v>
      </c>
      <c r="G2" s="5" t="s">
        <v>53</v>
      </c>
      <c r="H2" s="5" t="s">
        <v>54</v>
      </c>
      <c r="I2" s="5" t="s">
        <v>55</v>
      </c>
      <c r="J2" s="5" t="s">
        <v>56</v>
      </c>
      <c r="K2" s="6" t="s">
        <v>57</v>
      </c>
    </row>
    <row r="3" spans="1:11">
      <c r="A3" s="7" t="s">
        <v>58</v>
      </c>
      <c r="B3" s="8" t="s">
        <v>12</v>
      </c>
      <c r="C3" s="8" t="s">
        <v>59</v>
      </c>
      <c r="D3" s="8" t="s">
        <v>52</v>
      </c>
      <c r="E3" s="8" t="s">
        <v>60</v>
      </c>
      <c r="F3" s="10">
        <v>0.8</v>
      </c>
      <c r="G3" s="8" t="s">
        <v>9</v>
      </c>
      <c r="H3" s="8" t="s">
        <v>21</v>
      </c>
      <c r="I3" s="8" t="s">
        <v>61</v>
      </c>
      <c r="J3" s="8" t="s">
        <v>56</v>
      </c>
      <c r="K3" s="9" t="s">
        <v>62</v>
      </c>
    </row>
    <row r="4" spans="1:11">
      <c r="A4" s="7" t="s">
        <v>63</v>
      </c>
      <c r="B4" s="8" t="s">
        <v>12</v>
      </c>
      <c r="C4" s="8" t="s">
        <v>64</v>
      </c>
      <c r="D4" s="8" t="s">
        <v>52</v>
      </c>
      <c r="E4" s="8" t="s">
        <v>65</v>
      </c>
      <c r="F4" s="10">
        <v>0.75</v>
      </c>
      <c r="G4" s="8" t="s">
        <v>9</v>
      </c>
      <c r="H4" s="8" t="s">
        <v>21</v>
      </c>
      <c r="I4" s="8" t="s">
        <v>66</v>
      </c>
      <c r="J4" s="8" t="s">
        <v>56</v>
      </c>
      <c r="K4" s="9" t="s">
        <v>62</v>
      </c>
    </row>
    <row r="5" spans="1:11">
      <c r="A5" s="7" t="s">
        <v>67</v>
      </c>
      <c r="B5" s="8" t="s">
        <v>12</v>
      </c>
      <c r="C5" s="8" t="s">
        <v>68</v>
      </c>
      <c r="D5" s="8" t="s">
        <v>52</v>
      </c>
      <c r="E5" s="8" t="s">
        <v>69</v>
      </c>
      <c r="F5" s="10">
        <v>0.45</v>
      </c>
      <c r="G5" s="8" t="s">
        <v>9</v>
      </c>
      <c r="H5" s="8" t="s">
        <v>21</v>
      </c>
      <c r="I5" s="8" t="s">
        <v>70</v>
      </c>
      <c r="J5" s="8" t="s">
        <v>56</v>
      </c>
      <c r="K5" s="9" t="s">
        <v>71</v>
      </c>
    </row>
    <row r="6" spans="1:11">
      <c r="A6" s="7" t="s">
        <v>72</v>
      </c>
      <c r="B6" s="8" t="s">
        <v>12</v>
      </c>
      <c r="C6" s="8" t="s">
        <v>73</v>
      </c>
      <c r="D6" s="8" t="s">
        <v>7</v>
      </c>
      <c r="E6" s="8" t="s">
        <v>74</v>
      </c>
      <c r="F6" s="10">
        <v>0.25</v>
      </c>
      <c r="G6" s="8" t="s">
        <v>13</v>
      </c>
      <c r="H6" s="8" t="s">
        <v>21</v>
      </c>
      <c r="I6" s="8" t="s">
        <v>75</v>
      </c>
      <c r="J6" s="8" t="s">
        <v>76</v>
      </c>
      <c r="K6" s="9" t="s">
        <v>71</v>
      </c>
    </row>
    <row r="7" spans="1:11">
      <c r="A7" s="7" t="s">
        <v>77</v>
      </c>
      <c r="B7" s="8" t="s">
        <v>12</v>
      </c>
      <c r="C7" s="8" t="s">
        <v>78</v>
      </c>
      <c r="D7" s="8" t="s">
        <v>7</v>
      </c>
      <c r="E7" s="8" t="s">
        <v>79</v>
      </c>
      <c r="F7" s="10">
        <v>0.15</v>
      </c>
      <c r="G7" s="8" t="s">
        <v>13</v>
      </c>
      <c r="H7" s="8" t="s">
        <v>21</v>
      </c>
      <c r="I7" s="8" t="s">
        <v>80</v>
      </c>
      <c r="J7" s="8" t="s">
        <v>56</v>
      </c>
      <c r="K7" s="9" t="s">
        <v>71</v>
      </c>
    </row>
    <row r="8" spans="1:11">
      <c r="A8" s="7" t="s">
        <v>81</v>
      </c>
      <c r="B8" s="8" t="s">
        <v>12</v>
      </c>
      <c r="C8" s="8" t="s">
        <v>82</v>
      </c>
      <c r="D8" s="8" t="s">
        <v>7</v>
      </c>
      <c r="E8" s="8" t="s">
        <v>83</v>
      </c>
      <c r="F8" s="10">
        <v>0.1</v>
      </c>
      <c r="G8" s="8" t="s">
        <v>13</v>
      </c>
      <c r="H8" s="8" t="s">
        <v>21</v>
      </c>
      <c r="I8" s="8" t="s">
        <v>84</v>
      </c>
      <c r="J8" s="8" t="s">
        <v>56</v>
      </c>
      <c r="K8" s="9" t="s">
        <v>71</v>
      </c>
    </row>
    <row r="9" spans="1:11">
      <c r="A9" s="7" t="s">
        <v>85</v>
      </c>
      <c r="B9" s="8" t="s">
        <v>12</v>
      </c>
      <c r="C9" s="8" t="s">
        <v>86</v>
      </c>
      <c r="D9" s="8" t="s">
        <v>69</v>
      </c>
      <c r="E9" s="8" t="s">
        <v>87</v>
      </c>
      <c r="F9" s="10">
        <v>0</v>
      </c>
      <c r="G9" s="8" t="s">
        <v>9</v>
      </c>
      <c r="H9" s="8" t="s">
        <v>88</v>
      </c>
      <c r="I9" s="8" t="s">
        <v>89</v>
      </c>
      <c r="J9" s="8" t="s">
        <v>90</v>
      </c>
      <c r="K9" s="9" t="s">
        <v>71</v>
      </c>
    </row>
    <row r="10" spans="1:11">
      <c r="A10" s="7" t="s">
        <v>91</v>
      </c>
      <c r="B10" s="8" t="s">
        <v>12</v>
      </c>
      <c r="C10" s="8" t="s">
        <v>92</v>
      </c>
      <c r="D10" s="8" t="s">
        <v>83</v>
      </c>
      <c r="E10" s="8" t="s">
        <v>93</v>
      </c>
      <c r="F10" s="10">
        <v>0</v>
      </c>
      <c r="G10" s="8" t="s">
        <v>13</v>
      </c>
      <c r="H10" s="8" t="s">
        <v>88</v>
      </c>
      <c r="I10" s="8" t="s">
        <v>94</v>
      </c>
      <c r="J10" s="8" t="s">
        <v>95</v>
      </c>
      <c r="K10" s="9" t="s">
        <v>71</v>
      </c>
    </row>
    <row r="11" spans="1:11">
      <c r="A11" s="7" t="s">
        <v>96</v>
      </c>
      <c r="B11" s="8" t="s">
        <v>12</v>
      </c>
      <c r="C11" s="8" t="s">
        <v>97</v>
      </c>
      <c r="D11" s="8" t="s">
        <v>65</v>
      </c>
      <c r="E11" s="8" t="s">
        <v>98</v>
      </c>
      <c r="F11" s="10">
        <v>0.35</v>
      </c>
      <c r="G11" s="8" t="s">
        <v>13</v>
      </c>
      <c r="H11" s="8" t="s">
        <v>21</v>
      </c>
      <c r="I11" s="8" t="s">
        <v>99</v>
      </c>
      <c r="J11" s="8" t="s">
        <v>56</v>
      </c>
      <c r="K11" s="9" t="s">
        <v>71</v>
      </c>
    </row>
    <row r="12" spans="1:11">
      <c r="A12" s="7" t="s">
        <v>100</v>
      </c>
      <c r="B12" s="8" t="s">
        <v>12</v>
      </c>
      <c r="C12" s="8" t="s">
        <v>101</v>
      </c>
      <c r="D12" s="8" t="s">
        <v>87</v>
      </c>
      <c r="E12" s="8" t="s">
        <v>102</v>
      </c>
      <c r="F12" s="10">
        <v>0.1</v>
      </c>
      <c r="G12" s="8" t="s">
        <v>53</v>
      </c>
      <c r="H12" s="8" t="s">
        <v>21</v>
      </c>
      <c r="I12" s="8" t="s">
        <v>103</v>
      </c>
      <c r="J12" s="8" t="s">
        <v>104</v>
      </c>
      <c r="K12" s="9" t="s">
        <v>105</v>
      </c>
    </row>
    <row r="13" spans="1:11">
      <c r="A13" s="7" t="s">
        <v>106</v>
      </c>
      <c r="B13" s="8" t="s">
        <v>12</v>
      </c>
      <c r="C13" s="8" t="s">
        <v>107</v>
      </c>
      <c r="D13" s="8" t="s">
        <v>108</v>
      </c>
      <c r="E13" s="8" t="s">
        <v>109</v>
      </c>
      <c r="F13" s="10">
        <v>0</v>
      </c>
      <c r="G13" s="8" t="s">
        <v>53</v>
      </c>
      <c r="H13" s="8" t="s">
        <v>88</v>
      </c>
      <c r="I13" s="8" t="s">
        <v>110</v>
      </c>
      <c r="J13" s="8" t="s">
        <v>111</v>
      </c>
      <c r="K13" s="9" t="s">
        <v>71</v>
      </c>
    </row>
    <row r="14" spans="1:11">
      <c r="A14" s="7" t="s">
        <v>112</v>
      </c>
      <c r="B14" s="8" t="s">
        <v>12</v>
      </c>
      <c r="C14" s="8" t="s">
        <v>113</v>
      </c>
      <c r="D14" s="8" t="s">
        <v>20</v>
      </c>
      <c r="E14" s="8" t="s">
        <v>20</v>
      </c>
      <c r="F14" s="10">
        <v>0</v>
      </c>
      <c r="G14" s="8" t="s">
        <v>53</v>
      </c>
      <c r="H14" s="8" t="s">
        <v>88</v>
      </c>
      <c r="I14" s="8" t="s">
        <v>114</v>
      </c>
      <c r="J14" s="8" t="s">
        <v>115</v>
      </c>
      <c r="K14" s="9" t="s">
        <v>116</v>
      </c>
    </row>
    <row r="15" spans="1:11">
      <c r="A15" s="7" t="s">
        <v>117</v>
      </c>
      <c r="B15" s="8" t="s">
        <v>16</v>
      </c>
      <c r="C15" s="8" t="s">
        <v>118</v>
      </c>
      <c r="D15" s="8" t="s">
        <v>52</v>
      </c>
      <c r="E15" s="8" t="s">
        <v>7</v>
      </c>
      <c r="F15" s="10">
        <v>0.9</v>
      </c>
      <c r="G15" s="8" t="s">
        <v>53</v>
      </c>
      <c r="H15" s="8" t="s">
        <v>21</v>
      </c>
      <c r="I15" s="8" t="s">
        <v>119</v>
      </c>
      <c r="J15" s="8" t="s">
        <v>56</v>
      </c>
      <c r="K15" s="9" t="s">
        <v>120</v>
      </c>
    </row>
    <row r="16" spans="1:11">
      <c r="A16" s="7" t="s">
        <v>121</v>
      </c>
      <c r="B16" s="8" t="s">
        <v>16</v>
      </c>
      <c r="C16" s="8" t="s">
        <v>122</v>
      </c>
      <c r="D16" s="8" t="s">
        <v>123</v>
      </c>
      <c r="E16" s="8" t="s">
        <v>7</v>
      </c>
      <c r="F16" s="10">
        <v>0.85</v>
      </c>
      <c r="G16" s="8" t="s">
        <v>9</v>
      </c>
      <c r="H16" s="8" t="s">
        <v>21</v>
      </c>
      <c r="I16" s="8" t="s">
        <v>124</v>
      </c>
      <c r="J16" s="8" t="s">
        <v>56</v>
      </c>
      <c r="K16" s="9" t="s">
        <v>125</v>
      </c>
    </row>
    <row r="17" spans="1:11">
      <c r="A17" s="7" t="s">
        <v>126</v>
      </c>
      <c r="B17" s="8" t="s">
        <v>16</v>
      </c>
      <c r="C17" s="8" t="s">
        <v>127</v>
      </c>
      <c r="D17" s="8" t="s">
        <v>123</v>
      </c>
      <c r="E17" s="8" t="s">
        <v>7</v>
      </c>
      <c r="F17" s="10">
        <v>0.65</v>
      </c>
      <c r="G17" s="8" t="s">
        <v>9</v>
      </c>
      <c r="H17" s="8" t="s">
        <v>21</v>
      </c>
      <c r="I17" s="8" t="s">
        <v>128</v>
      </c>
      <c r="J17" s="8" t="s">
        <v>129</v>
      </c>
      <c r="K17" s="9" t="s">
        <v>29</v>
      </c>
    </row>
    <row r="18" spans="1:11">
      <c r="A18" s="7" t="s">
        <v>130</v>
      </c>
      <c r="B18" s="8" t="s">
        <v>16</v>
      </c>
      <c r="C18" s="8" t="s">
        <v>131</v>
      </c>
      <c r="D18" s="8" t="s">
        <v>123</v>
      </c>
      <c r="E18" s="8" t="s">
        <v>7</v>
      </c>
      <c r="F18" s="10">
        <v>0.7</v>
      </c>
      <c r="G18" s="8" t="s">
        <v>9</v>
      </c>
      <c r="H18" s="8" t="s">
        <v>21</v>
      </c>
      <c r="I18" s="8" t="s">
        <v>132</v>
      </c>
      <c r="J18" s="8" t="s">
        <v>133</v>
      </c>
      <c r="K18" s="9" t="s">
        <v>134</v>
      </c>
    </row>
    <row r="19" spans="1:11">
      <c r="A19" s="7" t="s">
        <v>135</v>
      </c>
      <c r="B19" s="8" t="s">
        <v>16</v>
      </c>
      <c r="C19" s="8" t="s">
        <v>136</v>
      </c>
      <c r="D19" s="8" t="s">
        <v>7</v>
      </c>
      <c r="E19" s="8" t="s">
        <v>7</v>
      </c>
      <c r="F19" s="10">
        <v>1</v>
      </c>
      <c r="G19" s="8" t="s">
        <v>9</v>
      </c>
      <c r="H19" s="8" t="s">
        <v>54</v>
      </c>
      <c r="I19" s="8" t="s">
        <v>137</v>
      </c>
      <c r="J19" s="8" t="s">
        <v>56</v>
      </c>
      <c r="K19" s="9" t="s">
        <v>138</v>
      </c>
    </row>
    <row r="20" spans="1:11">
      <c r="A20" s="7" t="s">
        <v>139</v>
      </c>
      <c r="B20" s="8" t="s">
        <v>16</v>
      </c>
      <c r="C20" s="8" t="s">
        <v>140</v>
      </c>
      <c r="D20" s="8" t="s">
        <v>83</v>
      </c>
      <c r="E20" s="8" t="s">
        <v>20</v>
      </c>
      <c r="F20" s="10">
        <v>0</v>
      </c>
      <c r="G20" s="8" t="s">
        <v>9</v>
      </c>
      <c r="H20" s="8" t="s">
        <v>88</v>
      </c>
      <c r="I20" s="8" t="s">
        <v>141</v>
      </c>
      <c r="J20" s="8" t="s">
        <v>142</v>
      </c>
      <c r="K20" s="9" t="s">
        <v>120</v>
      </c>
    </row>
    <row r="21" spans="1:11">
      <c r="A21" s="7" t="s">
        <v>143</v>
      </c>
      <c r="B21" s="8" t="s">
        <v>16</v>
      </c>
      <c r="C21" s="8" t="s">
        <v>144</v>
      </c>
      <c r="D21" s="8" t="s">
        <v>20</v>
      </c>
      <c r="E21" s="8" t="s">
        <v>145</v>
      </c>
      <c r="F21" s="10">
        <v>0</v>
      </c>
      <c r="G21" s="8" t="s">
        <v>9</v>
      </c>
      <c r="H21" s="8" t="s">
        <v>88</v>
      </c>
      <c r="I21" s="8" t="s">
        <v>146</v>
      </c>
      <c r="J21" s="8" t="s">
        <v>147</v>
      </c>
      <c r="K21" s="9" t="s">
        <v>16</v>
      </c>
    </row>
    <row r="22" spans="1:11">
      <c r="A22" s="7" t="s">
        <v>148</v>
      </c>
      <c r="B22" s="8" t="s">
        <v>16</v>
      </c>
      <c r="C22" s="8" t="s">
        <v>149</v>
      </c>
      <c r="D22" s="8" t="s">
        <v>150</v>
      </c>
      <c r="E22" s="8" t="s">
        <v>151</v>
      </c>
      <c r="F22" s="10">
        <v>0</v>
      </c>
      <c r="G22" s="8" t="s">
        <v>9</v>
      </c>
      <c r="H22" s="8" t="s">
        <v>88</v>
      </c>
      <c r="I22" s="8" t="s">
        <v>152</v>
      </c>
      <c r="J22" s="8" t="s">
        <v>153</v>
      </c>
      <c r="K22" s="9" t="s">
        <v>16</v>
      </c>
    </row>
    <row r="23" spans="1:11">
      <c r="A23" s="7" t="s">
        <v>154</v>
      </c>
      <c r="B23" s="8" t="s">
        <v>16</v>
      </c>
      <c r="C23" s="8" t="s">
        <v>155</v>
      </c>
      <c r="D23" s="8" t="s">
        <v>20</v>
      </c>
      <c r="E23" s="8" t="s">
        <v>156</v>
      </c>
      <c r="F23" s="10">
        <v>0.05</v>
      </c>
      <c r="G23" s="8" t="s">
        <v>13</v>
      </c>
      <c r="H23" s="8" t="s">
        <v>21</v>
      </c>
      <c r="I23" s="8" t="s">
        <v>157</v>
      </c>
      <c r="J23" s="8" t="s">
        <v>158</v>
      </c>
      <c r="K23" s="9" t="s">
        <v>16</v>
      </c>
    </row>
    <row r="24" spans="1:11">
      <c r="A24" s="7" t="s">
        <v>159</v>
      </c>
      <c r="B24" s="8" t="s">
        <v>16</v>
      </c>
      <c r="C24" s="8" t="s">
        <v>160</v>
      </c>
      <c r="D24" s="8" t="s">
        <v>161</v>
      </c>
      <c r="E24" s="8" t="s">
        <v>162</v>
      </c>
      <c r="F24" s="10">
        <v>0</v>
      </c>
      <c r="G24" s="8" t="s">
        <v>9</v>
      </c>
      <c r="H24" s="8" t="s">
        <v>88</v>
      </c>
      <c r="I24" s="8" t="s">
        <v>163</v>
      </c>
      <c r="J24" s="8" t="s">
        <v>164</v>
      </c>
      <c r="K24" s="9" t="s">
        <v>16</v>
      </c>
    </row>
    <row r="25" spans="1:11">
      <c r="A25" s="7" t="s">
        <v>165</v>
      </c>
      <c r="B25" s="8" t="s">
        <v>16</v>
      </c>
      <c r="C25" s="8" t="s">
        <v>166</v>
      </c>
      <c r="D25" s="8" t="s">
        <v>167</v>
      </c>
      <c r="E25" s="8" t="s">
        <v>168</v>
      </c>
      <c r="F25" s="10">
        <v>0</v>
      </c>
      <c r="G25" s="8" t="s">
        <v>13</v>
      </c>
      <c r="H25" s="8" t="s">
        <v>88</v>
      </c>
      <c r="I25" s="8" t="s">
        <v>169</v>
      </c>
      <c r="J25" s="8" t="s">
        <v>164</v>
      </c>
      <c r="K25" s="9" t="s">
        <v>16</v>
      </c>
    </row>
    <row r="26" spans="1:11">
      <c r="A26" s="7" t="s">
        <v>170</v>
      </c>
      <c r="B26" s="8" t="s">
        <v>16</v>
      </c>
      <c r="C26" s="8" t="s">
        <v>171</v>
      </c>
      <c r="D26" s="8" t="s">
        <v>172</v>
      </c>
      <c r="E26" s="8" t="s">
        <v>173</v>
      </c>
      <c r="F26" s="10">
        <v>0</v>
      </c>
      <c r="G26" s="8" t="s">
        <v>9</v>
      </c>
      <c r="H26" s="8" t="s">
        <v>88</v>
      </c>
      <c r="I26" s="8" t="s">
        <v>174</v>
      </c>
      <c r="J26" s="8" t="s">
        <v>175</v>
      </c>
      <c r="K26" s="9" t="s">
        <v>16</v>
      </c>
    </row>
    <row r="27" spans="1:11">
      <c r="A27" s="7" t="s">
        <v>176</v>
      </c>
      <c r="B27" s="8" t="s">
        <v>16</v>
      </c>
      <c r="C27" s="8" t="s">
        <v>177</v>
      </c>
      <c r="D27" s="8" t="s">
        <v>178</v>
      </c>
      <c r="E27" s="8" t="s">
        <v>179</v>
      </c>
      <c r="F27" s="10">
        <v>0.15</v>
      </c>
      <c r="G27" s="8" t="s">
        <v>9</v>
      </c>
      <c r="H27" s="8" t="s">
        <v>21</v>
      </c>
      <c r="I27" s="8" t="s">
        <v>180</v>
      </c>
      <c r="J27" s="8" t="s">
        <v>181</v>
      </c>
      <c r="K27" s="9" t="s">
        <v>16</v>
      </c>
    </row>
    <row r="28" spans="1:11">
      <c r="A28" s="7" t="s">
        <v>182</v>
      </c>
      <c r="B28" s="8" t="s">
        <v>16</v>
      </c>
      <c r="C28" s="8" t="s">
        <v>183</v>
      </c>
      <c r="D28" s="8" t="s">
        <v>173</v>
      </c>
      <c r="E28" s="8" t="s">
        <v>184</v>
      </c>
      <c r="F28" s="10">
        <v>0</v>
      </c>
      <c r="G28" s="8" t="s">
        <v>13</v>
      </c>
      <c r="H28" s="8" t="s">
        <v>88</v>
      </c>
      <c r="I28" s="8" t="s">
        <v>185</v>
      </c>
      <c r="J28" s="8" t="s">
        <v>186</v>
      </c>
      <c r="K28" s="9" t="s">
        <v>16</v>
      </c>
    </row>
    <row r="29" spans="1:11">
      <c r="A29" s="7" t="s">
        <v>187</v>
      </c>
      <c r="B29" s="8" t="s">
        <v>16</v>
      </c>
      <c r="C29" s="8" t="s">
        <v>188</v>
      </c>
      <c r="D29" s="8" t="s">
        <v>189</v>
      </c>
      <c r="E29" s="8" t="s">
        <v>190</v>
      </c>
      <c r="F29" s="10">
        <v>0</v>
      </c>
      <c r="G29" s="8" t="s">
        <v>9</v>
      </c>
      <c r="H29" s="8" t="s">
        <v>88</v>
      </c>
      <c r="I29" s="8" t="s">
        <v>191</v>
      </c>
      <c r="J29" s="8" t="s">
        <v>192</v>
      </c>
      <c r="K29" s="9" t="s">
        <v>16</v>
      </c>
    </row>
    <row r="30" spans="1:11">
      <c r="A30" s="7" t="s">
        <v>193</v>
      </c>
      <c r="B30" s="8" t="s">
        <v>16</v>
      </c>
      <c r="C30" s="8" t="s">
        <v>194</v>
      </c>
      <c r="D30" s="8" t="s">
        <v>195</v>
      </c>
      <c r="E30" s="8" t="s">
        <v>196</v>
      </c>
      <c r="F30" s="10">
        <v>0</v>
      </c>
      <c r="G30" s="8" t="s">
        <v>13</v>
      </c>
      <c r="H30" s="8" t="s">
        <v>88</v>
      </c>
      <c r="I30" s="8" t="s">
        <v>197</v>
      </c>
      <c r="J30" s="8" t="s">
        <v>198</v>
      </c>
      <c r="K30" s="9" t="s">
        <v>16</v>
      </c>
    </row>
    <row r="31" spans="1:11">
      <c r="A31" s="7" t="s">
        <v>199</v>
      </c>
      <c r="B31" s="8" t="s">
        <v>16</v>
      </c>
      <c r="C31" s="8" t="s">
        <v>200</v>
      </c>
      <c r="D31" s="8" t="s">
        <v>184</v>
      </c>
      <c r="E31" s="8" t="s">
        <v>201</v>
      </c>
      <c r="F31" s="10">
        <v>0.05</v>
      </c>
      <c r="G31" s="8" t="s">
        <v>13</v>
      </c>
      <c r="H31" s="8" t="s">
        <v>21</v>
      </c>
      <c r="I31" s="8" t="s">
        <v>202</v>
      </c>
      <c r="J31" s="8" t="s">
        <v>203</v>
      </c>
      <c r="K31" s="9" t="s">
        <v>204</v>
      </c>
    </row>
    <row r="32" spans="1:11">
      <c r="A32" s="7" t="s">
        <v>205</v>
      </c>
      <c r="B32" s="8" t="s">
        <v>16</v>
      </c>
      <c r="C32" s="8" t="s">
        <v>206</v>
      </c>
      <c r="D32" s="8" t="s">
        <v>207</v>
      </c>
      <c r="E32" s="8" t="s">
        <v>201</v>
      </c>
      <c r="F32" s="10">
        <v>0.25</v>
      </c>
      <c r="G32" s="8" t="s">
        <v>13</v>
      </c>
      <c r="H32" s="8" t="s">
        <v>21</v>
      </c>
      <c r="I32" s="8" t="s">
        <v>208</v>
      </c>
      <c r="J32" s="8" t="s">
        <v>209</v>
      </c>
      <c r="K32" s="9" t="s">
        <v>120</v>
      </c>
    </row>
    <row r="33" spans="1:11">
      <c r="A33" s="7" t="s">
        <v>210</v>
      </c>
      <c r="B33" s="8" t="s">
        <v>16</v>
      </c>
      <c r="C33" s="8" t="s">
        <v>211</v>
      </c>
      <c r="D33" s="8" t="s">
        <v>196</v>
      </c>
      <c r="E33" s="8" t="s">
        <v>23</v>
      </c>
      <c r="F33" s="10">
        <v>0.05</v>
      </c>
      <c r="G33" s="8" t="s">
        <v>53</v>
      </c>
      <c r="H33" s="8" t="s">
        <v>21</v>
      </c>
      <c r="I33" s="8" t="s">
        <v>212</v>
      </c>
      <c r="J33" s="8" t="s">
        <v>213</v>
      </c>
      <c r="K33" s="9" t="s">
        <v>214</v>
      </c>
    </row>
    <row r="34" spans="1:11">
      <c r="A34" s="11" t="s">
        <v>215</v>
      </c>
      <c r="B34" s="12" t="s">
        <v>16</v>
      </c>
      <c r="C34" s="12" t="s">
        <v>216</v>
      </c>
      <c r="D34" s="12" t="s">
        <v>23</v>
      </c>
      <c r="E34" s="12" t="s">
        <v>23</v>
      </c>
      <c r="F34" s="15">
        <v>0</v>
      </c>
      <c r="G34" s="12" t="s">
        <v>53</v>
      </c>
      <c r="H34" s="12" t="s">
        <v>88</v>
      </c>
      <c r="I34" s="12" t="s">
        <v>114</v>
      </c>
      <c r="J34" s="12" t="s">
        <v>115</v>
      </c>
      <c r="K34" s="13" t="s">
        <v>16</v>
      </c>
    </row>
  </sheetData>
  <conditionalFormatting sqref="F2:F34">
    <cfRule type="dataBar" priority="1">
      <dataBar>
        <cfvo type="min"/>
        <cfvo type="max"/>
        <color rgb="FF70AD47"/>
      </dataBar>
    </cfRule>
  </conditionalFormatting>
  <conditionalFormatting sqref="F2:F34">
    <cfRule type="dataBar" priority="2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{861A3A3A-67E4-1F68-CB7F-AAEB3256ECF8}</x14:id>
        </ext>
      </extLst>
    </cfRule>
  </conditionalFormatting>
  <dataValidations count="1">
    <dataValidation type="list" sqref="H2:H34" xr:uid="{00000000-0002-0000-0100-000000000000}">
      <formula1>"No iniciado,En curso,Completado,Bloqueado,Cancelado"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61A3A3A-67E4-1F68-CB7F-AAEB3256ECF8}">
            <x14:dataBar>
              <x14:cfvo type="min"/>
              <x14:cfvo type="max"/>
              <x14:negativeFillColor auto="1"/>
              <x14:axisColor auto="1"/>
            </x14:dataBar>
          </x14:cfRule>
          <xm:sqref>F2:F34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4"/>
  <sheetViews>
    <sheetView zoomScaleNormal="100" zoomScaleSheetLayoutView="100" workbookViewId="0"/>
  </sheetViews>
  <sheetFormatPr defaultRowHeight="15"/>
  <cols>
    <col min="1" max="1" width="7.75" customWidth="1"/>
    <col min="2" max="2" width="12.25" customWidth="1"/>
    <col min="3" max="3" width="40" customWidth="1"/>
    <col min="4" max="5" width="11.625" customWidth="1"/>
    <col min="6" max="6" width="10" customWidth="1"/>
    <col min="7" max="7" width="27.75" customWidth="1"/>
    <col min="8" max="8" width="12.75" customWidth="1"/>
    <col min="9" max="9" width="27.75" customWidth="1"/>
    <col min="10" max="10" width="30" customWidth="1"/>
    <col min="11" max="11" width="36.625" customWidth="1"/>
  </cols>
  <sheetData>
    <row r="1" spans="1:11">
      <c r="A1" s="1" t="s">
        <v>40</v>
      </c>
      <c r="B1" s="2" t="s">
        <v>37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3" t="s">
        <v>49</v>
      </c>
    </row>
    <row r="2" spans="1:11">
      <c r="A2" s="4" t="s">
        <v>50</v>
      </c>
      <c r="B2" s="5" t="s">
        <v>12</v>
      </c>
      <c r="C2" s="5" t="s">
        <v>51</v>
      </c>
      <c r="D2" s="5" t="s">
        <v>52</v>
      </c>
      <c r="E2" s="5" t="s">
        <v>7</v>
      </c>
      <c r="F2" s="14">
        <v>1</v>
      </c>
      <c r="G2" s="5" t="s">
        <v>53</v>
      </c>
      <c r="H2" s="5" t="s">
        <v>54</v>
      </c>
      <c r="I2" s="5" t="s">
        <v>55</v>
      </c>
      <c r="J2" s="5" t="s">
        <v>56</v>
      </c>
      <c r="K2" s="6" t="s">
        <v>57</v>
      </c>
    </row>
    <row r="3" spans="1:11">
      <c r="A3" s="7" t="s">
        <v>58</v>
      </c>
      <c r="B3" s="8" t="s">
        <v>12</v>
      </c>
      <c r="C3" s="8" t="s">
        <v>59</v>
      </c>
      <c r="D3" s="8" t="s">
        <v>52</v>
      </c>
      <c r="E3" s="8" t="s">
        <v>60</v>
      </c>
      <c r="F3" s="10">
        <v>0.8</v>
      </c>
      <c r="G3" s="8" t="s">
        <v>9</v>
      </c>
      <c r="H3" s="8" t="s">
        <v>21</v>
      </c>
      <c r="I3" s="8" t="s">
        <v>61</v>
      </c>
      <c r="J3" s="8" t="s">
        <v>56</v>
      </c>
      <c r="K3" s="9" t="s">
        <v>62</v>
      </c>
    </row>
    <row r="4" spans="1:11">
      <c r="A4" s="7" t="s">
        <v>63</v>
      </c>
      <c r="B4" s="8" t="s">
        <v>12</v>
      </c>
      <c r="C4" s="8" t="s">
        <v>64</v>
      </c>
      <c r="D4" s="8" t="s">
        <v>52</v>
      </c>
      <c r="E4" s="8" t="s">
        <v>65</v>
      </c>
      <c r="F4" s="10">
        <v>0.75</v>
      </c>
      <c r="G4" s="8" t="s">
        <v>9</v>
      </c>
      <c r="H4" s="8" t="s">
        <v>21</v>
      </c>
      <c r="I4" s="8" t="s">
        <v>66</v>
      </c>
      <c r="J4" s="8" t="s">
        <v>56</v>
      </c>
      <c r="K4" s="9" t="s">
        <v>62</v>
      </c>
    </row>
    <row r="5" spans="1:11">
      <c r="A5" s="7" t="s">
        <v>67</v>
      </c>
      <c r="B5" s="8" t="s">
        <v>12</v>
      </c>
      <c r="C5" s="8" t="s">
        <v>68</v>
      </c>
      <c r="D5" s="8" t="s">
        <v>52</v>
      </c>
      <c r="E5" s="8" t="s">
        <v>69</v>
      </c>
      <c r="F5" s="10">
        <v>0.45</v>
      </c>
      <c r="G5" s="8" t="s">
        <v>9</v>
      </c>
      <c r="H5" s="8" t="s">
        <v>21</v>
      </c>
      <c r="I5" s="8" t="s">
        <v>70</v>
      </c>
      <c r="J5" s="8" t="s">
        <v>56</v>
      </c>
      <c r="K5" s="9" t="s">
        <v>71</v>
      </c>
    </row>
    <row r="6" spans="1:11">
      <c r="A6" s="7" t="s">
        <v>72</v>
      </c>
      <c r="B6" s="8" t="s">
        <v>12</v>
      </c>
      <c r="C6" s="8" t="s">
        <v>73</v>
      </c>
      <c r="D6" s="8" t="s">
        <v>7</v>
      </c>
      <c r="E6" s="8" t="s">
        <v>74</v>
      </c>
      <c r="F6" s="10">
        <v>0.25</v>
      </c>
      <c r="G6" s="8" t="s">
        <v>13</v>
      </c>
      <c r="H6" s="8" t="s">
        <v>21</v>
      </c>
      <c r="I6" s="8" t="s">
        <v>75</v>
      </c>
      <c r="J6" s="8" t="s">
        <v>76</v>
      </c>
      <c r="K6" s="9" t="s">
        <v>71</v>
      </c>
    </row>
    <row r="7" spans="1:11">
      <c r="A7" s="7" t="s">
        <v>77</v>
      </c>
      <c r="B7" s="8" t="s">
        <v>12</v>
      </c>
      <c r="C7" s="8" t="s">
        <v>78</v>
      </c>
      <c r="D7" s="8" t="s">
        <v>7</v>
      </c>
      <c r="E7" s="8" t="s">
        <v>79</v>
      </c>
      <c r="F7" s="10">
        <v>0.15</v>
      </c>
      <c r="G7" s="8" t="s">
        <v>13</v>
      </c>
      <c r="H7" s="8" t="s">
        <v>21</v>
      </c>
      <c r="I7" s="8" t="s">
        <v>80</v>
      </c>
      <c r="J7" s="8" t="s">
        <v>56</v>
      </c>
      <c r="K7" s="9" t="s">
        <v>71</v>
      </c>
    </row>
    <row r="8" spans="1:11">
      <c r="A8" s="7" t="s">
        <v>81</v>
      </c>
      <c r="B8" s="8" t="s">
        <v>12</v>
      </c>
      <c r="C8" s="8" t="s">
        <v>82</v>
      </c>
      <c r="D8" s="8" t="s">
        <v>7</v>
      </c>
      <c r="E8" s="8" t="s">
        <v>83</v>
      </c>
      <c r="F8" s="10">
        <v>0.1</v>
      </c>
      <c r="G8" s="8" t="s">
        <v>13</v>
      </c>
      <c r="H8" s="8" t="s">
        <v>21</v>
      </c>
      <c r="I8" s="8" t="s">
        <v>84</v>
      </c>
      <c r="J8" s="8" t="s">
        <v>56</v>
      </c>
      <c r="K8" s="9" t="s">
        <v>71</v>
      </c>
    </row>
    <row r="9" spans="1:11">
      <c r="A9" s="7" t="s">
        <v>85</v>
      </c>
      <c r="B9" s="8" t="s">
        <v>12</v>
      </c>
      <c r="C9" s="8" t="s">
        <v>86</v>
      </c>
      <c r="D9" s="8" t="s">
        <v>69</v>
      </c>
      <c r="E9" s="8" t="s">
        <v>87</v>
      </c>
      <c r="F9" s="10">
        <v>0</v>
      </c>
      <c r="G9" s="8" t="s">
        <v>9</v>
      </c>
      <c r="H9" s="8" t="s">
        <v>88</v>
      </c>
      <c r="I9" s="8" t="s">
        <v>89</v>
      </c>
      <c r="J9" s="8" t="s">
        <v>90</v>
      </c>
      <c r="K9" s="9" t="s">
        <v>71</v>
      </c>
    </row>
    <row r="10" spans="1:11">
      <c r="A10" s="7" t="s">
        <v>91</v>
      </c>
      <c r="B10" s="8" t="s">
        <v>12</v>
      </c>
      <c r="C10" s="8" t="s">
        <v>92</v>
      </c>
      <c r="D10" s="8" t="s">
        <v>83</v>
      </c>
      <c r="E10" s="8" t="s">
        <v>93</v>
      </c>
      <c r="F10" s="10">
        <v>0</v>
      </c>
      <c r="G10" s="8" t="s">
        <v>13</v>
      </c>
      <c r="H10" s="8" t="s">
        <v>88</v>
      </c>
      <c r="I10" s="8" t="s">
        <v>94</v>
      </c>
      <c r="J10" s="8" t="s">
        <v>95</v>
      </c>
      <c r="K10" s="9" t="s">
        <v>71</v>
      </c>
    </row>
    <row r="11" spans="1:11">
      <c r="A11" s="7" t="s">
        <v>96</v>
      </c>
      <c r="B11" s="8" t="s">
        <v>12</v>
      </c>
      <c r="C11" s="8" t="s">
        <v>97</v>
      </c>
      <c r="D11" s="8" t="s">
        <v>65</v>
      </c>
      <c r="E11" s="8" t="s">
        <v>98</v>
      </c>
      <c r="F11" s="10">
        <v>0.35</v>
      </c>
      <c r="G11" s="8" t="s">
        <v>13</v>
      </c>
      <c r="H11" s="8" t="s">
        <v>21</v>
      </c>
      <c r="I11" s="8" t="s">
        <v>99</v>
      </c>
      <c r="J11" s="8" t="s">
        <v>56</v>
      </c>
      <c r="K11" s="9" t="s">
        <v>71</v>
      </c>
    </row>
    <row r="12" spans="1:11">
      <c r="A12" s="7" t="s">
        <v>100</v>
      </c>
      <c r="B12" s="8" t="s">
        <v>12</v>
      </c>
      <c r="C12" s="8" t="s">
        <v>101</v>
      </c>
      <c r="D12" s="8" t="s">
        <v>87</v>
      </c>
      <c r="E12" s="8" t="s">
        <v>102</v>
      </c>
      <c r="F12" s="10">
        <v>0.1</v>
      </c>
      <c r="G12" s="8" t="s">
        <v>53</v>
      </c>
      <c r="H12" s="8" t="s">
        <v>21</v>
      </c>
      <c r="I12" s="8" t="s">
        <v>103</v>
      </c>
      <c r="J12" s="8" t="s">
        <v>104</v>
      </c>
      <c r="K12" s="9" t="s">
        <v>105</v>
      </c>
    </row>
    <row r="13" spans="1:11">
      <c r="A13" s="7" t="s">
        <v>106</v>
      </c>
      <c r="B13" s="8" t="s">
        <v>12</v>
      </c>
      <c r="C13" s="8" t="s">
        <v>107</v>
      </c>
      <c r="D13" s="8" t="s">
        <v>108</v>
      </c>
      <c r="E13" s="8" t="s">
        <v>109</v>
      </c>
      <c r="F13" s="10">
        <v>0</v>
      </c>
      <c r="G13" s="8" t="s">
        <v>53</v>
      </c>
      <c r="H13" s="8" t="s">
        <v>88</v>
      </c>
      <c r="I13" s="8" t="s">
        <v>110</v>
      </c>
      <c r="J13" s="8" t="s">
        <v>111</v>
      </c>
      <c r="K13" s="9" t="s">
        <v>71</v>
      </c>
    </row>
    <row r="14" spans="1:11">
      <c r="A14" s="11" t="s">
        <v>112</v>
      </c>
      <c r="B14" s="12" t="s">
        <v>12</v>
      </c>
      <c r="C14" s="12" t="s">
        <v>113</v>
      </c>
      <c r="D14" s="12" t="s">
        <v>20</v>
      </c>
      <c r="E14" s="12" t="s">
        <v>20</v>
      </c>
      <c r="F14" s="15">
        <v>0</v>
      </c>
      <c r="G14" s="12" t="s">
        <v>53</v>
      </c>
      <c r="H14" s="12" t="s">
        <v>88</v>
      </c>
      <c r="I14" s="12" t="s">
        <v>114</v>
      </c>
      <c r="J14" s="12" t="s">
        <v>115</v>
      </c>
      <c r="K14" s="13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1"/>
  <sheetViews>
    <sheetView zoomScaleNormal="100" zoomScaleSheetLayoutView="100" workbookViewId="0"/>
  </sheetViews>
  <sheetFormatPr defaultRowHeight="15"/>
  <cols>
    <col min="1" max="1" width="7.75" customWidth="1"/>
    <col min="2" max="2" width="12.25" customWidth="1"/>
    <col min="3" max="3" width="40" customWidth="1"/>
    <col min="4" max="5" width="11.625" customWidth="1"/>
    <col min="6" max="6" width="10" customWidth="1"/>
    <col min="7" max="7" width="27.75" customWidth="1"/>
    <col min="8" max="8" width="12.75" customWidth="1"/>
    <col min="9" max="9" width="27.75" customWidth="1"/>
    <col min="10" max="10" width="30" customWidth="1"/>
    <col min="11" max="11" width="42.25" customWidth="1"/>
  </cols>
  <sheetData>
    <row r="1" spans="1:11">
      <c r="A1" s="1" t="s">
        <v>40</v>
      </c>
      <c r="B1" s="2" t="s">
        <v>37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3" t="s">
        <v>49</v>
      </c>
    </row>
    <row r="2" spans="1:11">
      <c r="A2" s="4" t="s">
        <v>117</v>
      </c>
      <c r="B2" s="5" t="s">
        <v>16</v>
      </c>
      <c r="C2" s="5" t="s">
        <v>118</v>
      </c>
      <c r="D2" s="5" t="s">
        <v>52</v>
      </c>
      <c r="E2" s="5" t="s">
        <v>7</v>
      </c>
      <c r="F2" s="14">
        <v>0.9</v>
      </c>
      <c r="G2" s="5" t="s">
        <v>53</v>
      </c>
      <c r="H2" s="5" t="s">
        <v>21</v>
      </c>
      <c r="I2" s="5" t="s">
        <v>119</v>
      </c>
      <c r="J2" s="5" t="s">
        <v>56</v>
      </c>
      <c r="K2" s="6" t="s">
        <v>120</v>
      </c>
    </row>
    <row r="3" spans="1:11">
      <c r="A3" s="7" t="s">
        <v>121</v>
      </c>
      <c r="B3" s="8" t="s">
        <v>16</v>
      </c>
      <c r="C3" s="8" t="s">
        <v>122</v>
      </c>
      <c r="D3" s="8" t="s">
        <v>123</v>
      </c>
      <c r="E3" s="8" t="s">
        <v>7</v>
      </c>
      <c r="F3" s="10">
        <v>0.85</v>
      </c>
      <c r="G3" s="8" t="s">
        <v>9</v>
      </c>
      <c r="H3" s="8" t="s">
        <v>21</v>
      </c>
      <c r="I3" s="8" t="s">
        <v>124</v>
      </c>
      <c r="J3" s="8" t="s">
        <v>56</v>
      </c>
      <c r="K3" s="9" t="s">
        <v>125</v>
      </c>
    </row>
    <row r="4" spans="1:11">
      <c r="A4" s="7" t="s">
        <v>126</v>
      </c>
      <c r="B4" s="8" t="s">
        <v>16</v>
      </c>
      <c r="C4" s="8" t="s">
        <v>127</v>
      </c>
      <c r="D4" s="8" t="s">
        <v>123</v>
      </c>
      <c r="E4" s="8" t="s">
        <v>7</v>
      </c>
      <c r="F4" s="10">
        <v>0.65</v>
      </c>
      <c r="G4" s="8" t="s">
        <v>9</v>
      </c>
      <c r="H4" s="8" t="s">
        <v>21</v>
      </c>
      <c r="I4" s="8" t="s">
        <v>128</v>
      </c>
      <c r="J4" s="8" t="s">
        <v>129</v>
      </c>
      <c r="K4" s="9" t="s">
        <v>29</v>
      </c>
    </row>
    <row r="5" spans="1:11">
      <c r="A5" s="7" t="s">
        <v>130</v>
      </c>
      <c r="B5" s="8" t="s">
        <v>16</v>
      </c>
      <c r="C5" s="8" t="s">
        <v>131</v>
      </c>
      <c r="D5" s="8" t="s">
        <v>123</v>
      </c>
      <c r="E5" s="8" t="s">
        <v>7</v>
      </c>
      <c r="F5" s="10">
        <v>0.7</v>
      </c>
      <c r="G5" s="8" t="s">
        <v>9</v>
      </c>
      <c r="H5" s="8" t="s">
        <v>21</v>
      </c>
      <c r="I5" s="8" t="s">
        <v>132</v>
      </c>
      <c r="J5" s="8" t="s">
        <v>133</v>
      </c>
      <c r="K5" s="9" t="s">
        <v>134</v>
      </c>
    </row>
    <row r="6" spans="1:11">
      <c r="A6" s="7" t="s">
        <v>135</v>
      </c>
      <c r="B6" s="8" t="s">
        <v>16</v>
      </c>
      <c r="C6" s="8" t="s">
        <v>136</v>
      </c>
      <c r="D6" s="8" t="s">
        <v>7</v>
      </c>
      <c r="E6" s="8" t="s">
        <v>7</v>
      </c>
      <c r="F6" s="10">
        <v>1</v>
      </c>
      <c r="G6" s="8" t="s">
        <v>9</v>
      </c>
      <c r="H6" s="8" t="s">
        <v>54</v>
      </c>
      <c r="I6" s="8" t="s">
        <v>137</v>
      </c>
      <c r="J6" s="8" t="s">
        <v>56</v>
      </c>
      <c r="K6" s="9" t="s">
        <v>138</v>
      </c>
    </row>
    <row r="7" spans="1:11">
      <c r="A7" s="7" t="s">
        <v>139</v>
      </c>
      <c r="B7" s="8" t="s">
        <v>16</v>
      </c>
      <c r="C7" s="8" t="s">
        <v>140</v>
      </c>
      <c r="D7" s="8" t="s">
        <v>83</v>
      </c>
      <c r="E7" s="8" t="s">
        <v>20</v>
      </c>
      <c r="F7" s="10">
        <v>0</v>
      </c>
      <c r="G7" s="8" t="s">
        <v>9</v>
      </c>
      <c r="H7" s="8" t="s">
        <v>88</v>
      </c>
      <c r="I7" s="8" t="s">
        <v>141</v>
      </c>
      <c r="J7" s="8" t="s">
        <v>142</v>
      </c>
      <c r="K7" s="9" t="s">
        <v>120</v>
      </c>
    </row>
    <row r="8" spans="1:11">
      <c r="A8" s="7" t="s">
        <v>143</v>
      </c>
      <c r="B8" s="8" t="s">
        <v>16</v>
      </c>
      <c r="C8" s="8" t="s">
        <v>144</v>
      </c>
      <c r="D8" s="8" t="s">
        <v>20</v>
      </c>
      <c r="E8" s="8" t="s">
        <v>145</v>
      </c>
      <c r="F8" s="10">
        <v>0</v>
      </c>
      <c r="G8" s="8" t="s">
        <v>9</v>
      </c>
      <c r="H8" s="8" t="s">
        <v>88</v>
      </c>
      <c r="I8" s="8" t="s">
        <v>146</v>
      </c>
      <c r="J8" s="8" t="s">
        <v>147</v>
      </c>
      <c r="K8" s="9" t="s">
        <v>16</v>
      </c>
    </row>
    <row r="9" spans="1:11">
      <c r="A9" s="7" t="s">
        <v>148</v>
      </c>
      <c r="B9" s="8" t="s">
        <v>16</v>
      </c>
      <c r="C9" s="8" t="s">
        <v>149</v>
      </c>
      <c r="D9" s="8" t="s">
        <v>150</v>
      </c>
      <c r="E9" s="8" t="s">
        <v>151</v>
      </c>
      <c r="F9" s="10">
        <v>0</v>
      </c>
      <c r="G9" s="8" t="s">
        <v>9</v>
      </c>
      <c r="H9" s="8" t="s">
        <v>88</v>
      </c>
      <c r="I9" s="8" t="s">
        <v>152</v>
      </c>
      <c r="J9" s="8" t="s">
        <v>153</v>
      </c>
      <c r="K9" s="9" t="s">
        <v>16</v>
      </c>
    </row>
    <row r="10" spans="1:11">
      <c r="A10" s="7" t="s">
        <v>154</v>
      </c>
      <c r="B10" s="8" t="s">
        <v>16</v>
      </c>
      <c r="C10" s="8" t="s">
        <v>155</v>
      </c>
      <c r="D10" s="8" t="s">
        <v>20</v>
      </c>
      <c r="E10" s="8" t="s">
        <v>156</v>
      </c>
      <c r="F10" s="10">
        <v>0.05</v>
      </c>
      <c r="G10" s="8" t="s">
        <v>13</v>
      </c>
      <c r="H10" s="8" t="s">
        <v>21</v>
      </c>
      <c r="I10" s="8" t="s">
        <v>157</v>
      </c>
      <c r="J10" s="8" t="s">
        <v>158</v>
      </c>
      <c r="K10" s="9" t="s">
        <v>16</v>
      </c>
    </row>
    <row r="11" spans="1:11">
      <c r="A11" s="7" t="s">
        <v>159</v>
      </c>
      <c r="B11" s="8" t="s">
        <v>16</v>
      </c>
      <c r="C11" s="8" t="s">
        <v>160</v>
      </c>
      <c r="D11" s="8" t="s">
        <v>161</v>
      </c>
      <c r="E11" s="8" t="s">
        <v>162</v>
      </c>
      <c r="F11" s="10">
        <v>0</v>
      </c>
      <c r="G11" s="8" t="s">
        <v>9</v>
      </c>
      <c r="H11" s="8" t="s">
        <v>88</v>
      </c>
      <c r="I11" s="8" t="s">
        <v>163</v>
      </c>
      <c r="J11" s="8" t="s">
        <v>164</v>
      </c>
      <c r="K11" s="9" t="s">
        <v>16</v>
      </c>
    </row>
    <row r="12" spans="1:11">
      <c r="A12" s="7" t="s">
        <v>165</v>
      </c>
      <c r="B12" s="8" t="s">
        <v>16</v>
      </c>
      <c r="C12" s="8" t="s">
        <v>166</v>
      </c>
      <c r="D12" s="8" t="s">
        <v>167</v>
      </c>
      <c r="E12" s="8" t="s">
        <v>168</v>
      </c>
      <c r="F12" s="10">
        <v>0</v>
      </c>
      <c r="G12" s="8" t="s">
        <v>13</v>
      </c>
      <c r="H12" s="8" t="s">
        <v>88</v>
      </c>
      <c r="I12" s="8" t="s">
        <v>169</v>
      </c>
      <c r="J12" s="8" t="s">
        <v>164</v>
      </c>
      <c r="K12" s="9" t="s">
        <v>16</v>
      </c>
    </row>
    <row r="13" spans="1:11">
      <c r="A13" s="7" t="s">
        <v>170</v>
      </c>
      <c r="B13" s="8" t="s">
        <v>16</v>
      </c>
      <c r="C13" s="8" t="s">
        <v>171</v>
      </c>
      <c r="D13" s="8" t="s">
        <v>172</v>
      </c>
      <c r="E13" s="8" t="s">
        <v>173</v>
      </c>
      <c r="F13" s="10">
        <v>0</v>
      </c>
      <c r="G13" s="8" t="s">
        <v>9</v>
      </c>
      <c r="H13" s="8" t="s">
        <v>88</v>
      </c>
      <c r="I13" s="8" t="s">
        <v>174</v>
      </c>
      <c r="J13" s="8" t="s">
        <v>175</v>
      </c>
      <c r="K13" s="9" t="s">
        <v>16</v>
      </c>
    </row>
    <row r="14" spans="1:11">
      <c r="A14" s="7" t="s">
        <v>176</v>
      </c>
      <c r="B14" s="8" t="s">
        <v>16</v>
      </c>
      <c r="C14" s="8" t="s">
        <v>177</v>
      </c>
      <c r="D14" s="8" t="s">
        <v>178</v>
      </c>
      <c r="E14" s="8" t="s">
        <v>179</v>
      </c>
      <c r="F14" s="10">
        <v>0.15</v>
      </c>
      <c r="G14" s="8" t="s">
        <v>9</v>
      </c>
      <c r="H14" s="8" t="s">
        <v>21</v>
      </c>
      <c r="I14" s="8" t="s">
        <v>180</v>
      </c>
      <c r="J14" s="8" t="s">
        <v>181</v>
      </c>
      <c r="K14" s="9" t="s">
        <v>16</v>
      </c>
    </row>
    <row r="15" spans="1:11">
      <c r="A15" s="7" t="s">
        <v>182</v>
      </c>
      <c r="B15" s="8" t="s">
        <v>16</v>
      </c>
      <c r="C15" s="8" t="s">
        <v>183</v>
      </c>
      <c r="D15" s="8" t="s">
        <v>173</v>
      </c>
      <c r="E15" s="8" t="s">
        <v>184</v>
      </c>
      <c r="F15" s="10">
        <v>0</v>
      </c>
      <c r="G15" s="8" t="s">
        <v>13</v>
      </c>
      <c r="H15" s="8" t="s">
        <v>88</v>
      </c>
      <c r="I15" s="8" t="s">
        <v>185</v>
      </c>
      <c r="J15" s="8" t="s">
        <v>186</v>
      </c>
      <c r="K15" s="9" t="s">
        <v>16</v>
      </c>
    </row>
    <row r="16" spans="1:11">
      <c r="A16" s="7" t="s">
        <v>187</v>
      </c>
      <c r="B16" s="8" t="s">
        <v>16</v>
      </c>
      <c r="C16" s="8" t="s">
        <v>188</v>
      </c>
      <c r="D16" s="8" t="s">
        <v>189</v>
      </c>
      <c r="E16" s="8" t="s">
        <v>190</v>
      </c>
      <c r="F16" s="10">
        <v>0</v>
      </c>
      <c r="G16" s="8" t="s">
        <v>9</v>
      </c>
      <c r="H16" s="8" t="s">
        <v>88</v>
      </c>
      <c r="I16" s="8" t="s">
        <v>191</v>
      </c>
      <c r="J16" s="8" t="s">
        <v>192</v>
      </c>
      <c r="K16" s="9" t="s">
        <v>16</v>
      </c>
    </row>
    <row r="17" spans="1:11">
      <c r="A17" s="7" t="s">
        <v>193</v>
      </c>
      <c r="B17" s="8" t="s">
        <v>16</v>
      </c>
      <c r="C17" s="8" t="s">
        <v>194</v>
      </c>
      <c r="D17" s="8" t="s">
        <v>195</v>
      </c>
      <c r="E17" s="8" t="s">
        <v>196</v>
      </c>
      <c r="F17" s="10">
        <v>0</v>
      </c>
      <c r="G17" s="8" t="s">
        <v>13</v>
      </c>
      <c r="H17" s="8" t="s">
        <v>88</v>
      </c>
      <c r="I17" s="8" t="s">
        <v>197</v>
      </c>
      <c r="J17" s="8" t="s">
        <v>198</v>
      </c>
      <c r="K17" s="9" t="s">
        <v>16</v>
      </c>
    </row>
    <row r="18" spans="1:11">
      <c r="A18" s="7" t="s">
        <v>199</v>
      </c>
      <c r="B18" s="8" t="s">
        <v>16</v>
      </c>
      <c r="C18" s="8" t="s">
        <v>200</v>
      </c>
      <c r="D18" s="8" t="s">
        <v>184</v>
      </c>
      <c r="E18" s="8" t="s">
        <v>201</v>
      </c>
      <c r="F18" s="10">
        <v>0.05</v>
      </c>
      <c r="G18" s="8" t="s">
        <v>13</v>
      </c>
      <c r="H18" s="8" t="s">
        <v>21</v>
      </c>
      <c r="I18" s="8" t="s">
        <v>202</v>
      </c>
      <c r="J18" s="8" t="s">
        <v>203</v>
      </c>
      <c r="K18" s="9" t="s">
        <v>204</v>
      </c>
    </row>
    <row r="19" spans="1:11">
      <c r="A19" s="7" t="s">
        <v>205</v>
      </c>
      <c r="B19" s="8" t="s">
        <v>16</v>
      </c>
      <c r="C19" s="8" t="s">
        <v>206</v>
      </c>
      <c r="D19" s="8" t="s">
        <v>207</v>
      </c>
      <c r="E19" s="8" t="s">
        <v>201</v>
      </c>
      <c r="F19" s="10">
        <v>0.25</v>
      </c>
      <c r="G19" s="8" t="s">
        <v>13</v>
      </c>
      <c r="H19" s="8" t="s">
        <v>21</v>
      </c>
      <c r="I19" s="8" t="s">
        <v>208</v>
      </c>
      <c r="J19" s="8" t="s">
        <v>209</v>
      </c>
      <c r="K19" s="9" t="s">
        <v>120</v>
      </c>
    </row>
    <row r="20" spans="1:11">
      <c r="A20" s="7" t="s">
        <v>210</v>
      </c>
      <c r="B20" s="8" t="s">
        <v>16</v>
      </c>
      <c r="C20" s="8" t="s">
        <v>211</v>
      </c>
      <c r="D20" s="8" t="s">
        <v>196</v>
      </c>
      <c r="E20" s="8" t="s">
        <v>23</v>
      </c>
      <c r="F20" s="10">
        <v>0.05</v>
      </c>
      <c r="G20" s="8" t="s">
        <v>53</v>
      </c>
      <c r="H20" s="8" t="s">
        <v>21</v>
      </c>
      <c r="I20" s="8" t="s">
        <v>212</v>
      </c>
      <c r="J20" s="8" t="s">
        <v>213</v>
      </c>
      <c r="K20" s="9" t="s">
        <v>214</v>
      </c>
    </row>
    <row r="21" spans="1:11">
      <c r="A21" s="11" t="s">
        <v>215</v>
      </c>
      <c r="B21" s="12" t="s">
        <v>16</v>
      </c>
      <c r="C21" s="12" t="s">
        <v>216</v>
      </c>
      <c r="D21" s="12" t="s">
        <v>23</v>
      </c>
      <c r="E21" s="12" t="s">
        <v>23</v>
      </c>
      <c r="F21" s="15">
        <v>0</v>
      </c>
      <c r="G21" s="12" t="s">
        <v>53</v>
      </c>
      <c r="H21" s="12" t="s">
        <v>88</v>
      </c>
      <c r="I21" s="12" t="s">
        <v>114</v>
      </c>
      <c r="J21" s="12" t="s">
        <v>115</v>
      </c>
      <c r="K21" s="13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zoomScaleNormal="100" zoomScaleSheetLayoutView="100" workbookViewId="0"/>
  </sheetViews>
  <sheetFormatPr defaultRowHeight="15"/>
  <cols>
    <col min="1" max="1" width="24.5" customWidth="1"/>
    <col min="2" max="2" width="11.125" customWidth="1"/>
    <col min="3" max="3" width="27.75" customWidth="1"/>
    <col min="4" max="4" width="46.625" customWidth="1"/>
    <col min="5" max="5" width="17.75" customWidth="1"/>
  </cols>
  <sheetData>
    <row r="1" spans="1:5" ht="31.5" customHeight="1">
      <c r="A1" s="19" t="s">
        <v>217</v>
      </c>
      <c r="B1" s="19"/>
      <c r="C1" s="19"/>
      <c r="D1" s="19"/>
      <c r="E1" s="19"/>
    </row>
    <row r="3" spans="1:5">
      <c r="A3" s="1" t="s">
        <v>218</v>
      </c>
      <c r="B3" s="2" t="s">
        <v>219</v>
      </c>
      <c r="C3" s="2" t="s">
        <v>220</v>
      </c>
      <c r="D3" s="2" t="s">
        <v>221</v>
      </c>
      <c r="E3" s="3" t="s">
        <v>46</v>
      </c>
    </row>
    <row r="4" spans="1:5">
      <c r="A4" s="4" t="s">
        <v>222</v>
      </c>
      <c r="B4" s="5" t="s">
        <v>223</v>
      </c>
      <c r="C4" s="5" t="s">
        <v>9</v>
      </c>
      <c r="D4" s="5" t="s">
        <v>224</v>
      </c>
      <c r="E4" s="6" t="s">
        <v>225</v>
      </c>
    </row>
    <row r="5" spans="1:5">
      <c r="A5" s="7" t="s">
        <v>226</v>
      </c>
      <c r="B5" s="8" t="s">
        <v>223</v>
      </c>
      <c r="C5" s="8" t="s">
        <v>9</v>
      </c>
      <c r="D5" s="8" t="s">
        <v>227</v>
      </c>
      <c r="E5" s="9" t="s">
        <v>225</v>
      </c>
    </row>
    <row r="6" spans="1:5">
      <c r="A6" s="7" t="s">
        <v>228</v>
      </c>
      <c r="B6" s="8" t="s">
        <v>223</v>
      </c>
      <c r="C6" s="8" t="s">
        <v>9</v>
      </c>
      <c r="D6" s="8" t="s">
        <v>229</v>
      </c>
      <c r="E6" s="9" t="s">
        <v>225</v>
      </c>
    </row>
    <row r="7" spans="1:5">
      <c r="A7" s="7" t="s">
        <v>230</v>
      </c>
      <c r="B7" s="8" t="s">
        <v>223</v>
      </c>
      <c r="C7" s="8" t="s">
        <v>9</v>
      </c>
      <c r="D7" s="8" t="s">
        <v>231</v>
      </c>
      <c r="E7" s="9" t="s">
        <v>225</v>
      </c>
    </row>
    <row r="8" spans="1:5">
      <c r="A8" s="7" t="s">
        <v>163</v>
      </c>
      <c r="B8" s="8" t="s">
        <v>223</v>
      </c>
      <c r="C8" s="8" t="s">
        <v>9</v>
      </c>
      <c r="D8" s="8" t="s">
        <v>232</v>
      </c>
      <c r="E8" s="9" t="s">
        <v>225</v>
      </c>
    </row>
    <row r="9" spans="1:5">
      <c r="A9" s="7" t="s">
        <v>169</v>
      </c>
      <c r="B9" s="8" t="s">
        <v>223</v>
      </c>
      <c r="C9" s="8" t="s">
        <v>13</v>
      </c>
      <c r="D9" s="8" t="s">
        <v>233</v>
      </c>
      <c r="E9" s="9" t="s">
        <v>225</v>
      </c>
    </row>
    <row r="10" spans="1:5">
      <c r="A10" s="7" t="s">
        <v>174</v>
      </c>
      <c r="B10" s="8" t="s">
        <v>223</v>
      </c>
      <c r="C10" s="8" t="s">
        <v>9</v>
      </c>
      <c r="D10" s="8" t="s">
        <v>234</v>
      </c>
      <c r="E10" s="9" t="s">
        <v>225</v>
      </c>
    </row>
    <row r="11" spans="1:5">
      <c r="A11" s="7" t="s">
        <v>235</v>
      </c>
      <c r="B11" s="8" t="s">
        <v>223</v>
      </c>
      <c r="C11" s="8" t="s">
        <v>9</v>
      </c>
      <c r="D11" s="8" t="s">
        <v>236</v>
      </c>
      <c r="E11" s="9" t="s">
        <v>237</v>
      </c>
    </row>
    <row r="12" spans="1:5">
      <c r="A12" s="7" t="s">
        <v>238</v>
      </c>
      <c r="B12" s="8" t="s">
        <v>239</v>
      </c>
      <c r="C12" s="8" t="s">
        <v>9</v>
      </c>
      <c r="D12" s="8" t="s">
        <v>240</v>
      </c>
      <c r="E12" s="9" t="s">
        <v>237</v>
      </c>
    </row>
    <row r="13" spans="1:5">
      <c r="A13" s="7" t="s">
        <v>241</v>
      </c>
      <c r="B13" s="8" t="s">
        <v>242</v>
      </c>
      <c r="C13" s="8" t="s">
        <v>9</v>
      </c>
      <c r="D13" s="8" t="s">
        <v>243</v>
      </c>
      <c r="E13" s="9" t="s">
        <v>244</v>
      </c>
    </row>
    <row r="14" spans="1:5">
      <c r="A14" s="7" t="s">
        <v>245</v>
      </c>
      <c r="B14" s="8" t="s">
        <v>223</v>
      </c>
      <c r="C14" s="8" t="s">
        <v>13</v>
      </c>
      <c r="D14" s="8" t="s">
        <v>246</v>
      </c>
      <c r="E14" s="9" t="s">
        <v>225</v>
      </c>
    </row>
    <row r="15" spans="1:5">
      <c r="A15" s="11" t="s">
        <v>247</v>
      </c>
      <c r="B15" s="12" t="s">
        <v>248</v>
      </c>
      <c r="C15" s="12" t="s">
        <v>53</v>
      </c>
      <c r="D15" s="12" t="s">
        <v>249</v>
      </c>
      <c r="E15" s="13" t="s">
        <v>250</v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zoomScaleNormal="100" zoomScaleSheetLayoutView="100" workbookViewId="0"/>
  </sheetViews>
  <sheetFormatPr defaultRowHeight="15"/>
  <cols>
    <col min="1" max="1" width="7.75" customWidth="1"/>
    <col min="2" max="2" width="12.25" customWidth="1"/>
    <col min="3" max="3" width="36.625" customWidth="1"/>
    <col min="4" max="4" width="26.625" customWidth="1"/>
    <col min="5" max="6" width="11.625" customWidth="1"/>
    <col min="7" max="7" width="12.75" customWidth="1"/>
    <col min="8" max="8" width="7.75" customWidth="1"/>
    <col min="9" max="17" width="10.5" customWidth="1"/>
  </cols>
  <sheetData>
    <row r="1" spans="1:17">
      <c r="A1" s="1" t="s">
        <v>40</v>
      </c>
      <c r="B1" s="2" t="s">
        <v>37</v>
      </c>
      <c r="C1" s="2" t="s">
        <v>251</v>
      </c>
      <c r="D1" s="2" t="s">
        <v>45</v>
      </c>
      <c r="E1" s="2" t="s">
        <v>252</v>
      </c>
      <c r="F1" s="2" t="s">
        <v>253</v>
      </c>
      <c r="G1" s="2" t="s">
        <v>46</v>
      </c>
      <c r="H1" s="2" t="s">
        <v>254</v>
      </c>
      <c r="I1" s="2" t="s">
        <v>7</v>
      </c>
      <c r="J1" s="2" t="s">
        <v>83</v>
      </c>
      <c r="K1" s="2" t="s">
        <v>20</v>
      </c>
      <c r="L1" s="2" t="s">
        <v>145</v>
      </c>
      <c r="M1" s="2" t="s">
        <v>167</v>
      </c>
      <c r="N1" s="2" t="s">
        <v>172</v>
      </c>
      <c r="O1" s="2" t="s">
        <v>255</v>
      </c>
      <c r="P1" s="2" t="s">
        <v>184</v>
      </c>
      <c r="Q1" s="3" t="s">
        <v>23</v>
      </c>
    </row>
    <row r="2" spans="1:17">
      <c r="A2" s="4" t="s">
        <v>50</v>
      </c>
      <c r="B2" s="5" t="s">
        <v>12</v>
      </c>
      <c r="C2" s="5" t="s">
        <v>51</v>
      </c>
      <c r="D2" s="5" t="s">
        <v>53</v>
      </c>
      <c r="E2" s="5" t="s">
        <v>52</v>
      </c>
      <c r="F2" s="5" t="s">
        <v>7</v>
      </c>
      <c r="G2" s="5" t="s">
        <v>54</v>
      </c>
      <c r="H2" s="14">
        <v>1</v>
      </c>
      <c r="I2" s="5" t="s">
        <v>256</v>
      </c>
      <c r="J2" s="5"/>
      <c r="K2" s="5"/>
      <c r="L2" s="5"/>
      <c r="M2" s="5"/>
      <c r="N2" s="5"/>
      <c r="O2" s="5"/>
      <c r="P2" s="5"/>
      <c r="Q2" s="6"/>
    </row>
    <row r="3" spans="1:17">
      <c r="A3" s="7" t="s">
        <v>58</v>
      </c>
      <c r="B3" s="8" t="s">
        <v>12</v>
      </c>
      <c r="C3" s="8" t="s">
        <v>59</v>
      </c>
      <c r="D3" s="8" t="s">
        <v>9</v>
      </c>
      <c r="E3" s="8" t="s">
        <v>52</v>
      </c>
      <c r="F3" s="8" t="s">
        <v>60</v>
      </c>
      <c r="G3" s="8" t="s">
        <v>21</v>
      </c>
      <c r="H3" s="10">
        <v>0.8</v>
      </c>
      <c r="I3" s="8" t="s">
        <v>256</v>
      </c>
      <c r="J3" s="8"/>
      <c r="K3" s="8"/>
      <c r="L3" s="8"/>
      <c r="M3" s="8"/>
      <c r="N3" s="8"/>
      <c r="O3" s="8"/>
      <c r="P3" s="8"/>
      <c r="Q3" s="9"/>
    </row>
    <row r="4" spans="1:17">
      <c r="A4" s="7" t="s">
        <v>63</v>
      </c>
      <c r="B4" s="8" t="s">
        <v>12</v>
      </c>
      <c r="C4" s="8" t="s">
        <v>64</v>
      </c>
      <c r="D4" s="8" t="s">
        <v>9</v>
      </c>
      <c r="E4" s="8" t="s">
        <v>52</v>
      </c>
      <c r="F4" s="8" t="s">
        <v>65</v>
      </c>
      <c r="G4" s="8" t="s">
        <v>21</v>
      </c>
      <c r="H4" s="10">
        <v>0.75</v>
      </c>
      <c r="I4" s="8" t="s">
        <v>256</v>
      </c>
      <c r="J4" s="8"/>
      <c r="K4" s="8"/>
      <c r="L4" s="8"/>
      <c r="M4" s="8"/>
      <c r="N4" s="8"/>
      <c r="O4" s="8"/>
      <c r="P4" s="8"/>
      <c r="Q4" s="9"/>
    </row>
    <row r="5" spans="1:17">
      <c r="A5" s="7" t="s">
        <v>67</v>
      </c>
      <c r="B5" s="8" t="s">
        <v>12</v>
      </c>
      <c r="C5" s="8" t="s">
        <v>68</v>
      </c>
      <c r="D5" s="8" t="s">
        <v>9</v>
      </c>
      <c r="E5" s="8" t="s">
        <v>52</v>
      </c>
      <c r="F5" s="8" t="s">
        <v>69</v>
      </c>
      <c r="G5" s="8" t="s">
        <v>21</v>
      </c>
      <c r="H5" s="10">
        <v>0.45</v>
      </c>
      <c r="I5" s="8" t="s">
        <v>256</v>
      </c>
      <c r="J5" s="8"/>
      <c r="K5" s="8"/>
      <c r="L5" s="8"/>
      <c r="M5" s="8"/>
      <c r="N5" s="8"/>
      <c r="O5" s="8"/>
      <c r="P5" s="8"/>
      <c r="Q5" s="9"/>
    </row>
    <row r="6" spans="1:17">
      <c r="A6" s="7" t="s">
        <v>72</v>
      </c>
      <c r="B6" s="8" t="s">
        <v>12</v>
      </c>
      <c r="C6" s="8" t="s">
        <v>73</v>
      </c>
      <c r="D6" s="8" t="s">
        <v>13</v>
      </c>
      <c r="E6" s="8" t="s">
        <v>7</v>
      </c>
      <c r="F6" s="8" t="s">
        <v>74</v>
      </c>
      <c r="G6" s="8" t="s">
        <v>21</v>
      </c>
      <c r="H6" s="10">
        <v>0.25</v>
      </c>
      <c r="I6" s="8" t="s">
        <v>256</v>
      </c>
      <c r="J6" s="8"/>
      <c r="K6" s="8"/>
      <c r="L6" s="8"/>
      <c r="M6" s="8"/>
      <c r="N6" s="8"/>
      <c r="O6" s="8"/>
      <c r="P6" s="8"/>
      <c r="Q6" s="9"/>
    </row>
    <row r="7" spans="1:17">
      <c r="A7" s="7" t="s">
        <v>77</v>
      </c>
      <c r="B7" s="8" t="s">
        <v>12</v>
      </c>
      <c r="C7" s="8" t="s">
        <v>78</v>
      </c>
      <c r="D7" s="8" t="s">
        <v>13</v>
      </c>
      <c r="E7" s="8" t="s">
        <v>7</v>
      </c>
      <c r="F7" s="8" t="s">
        <v>79</v>
      </c>
      <c r="G7" s="8" t="s">
        <v>21</v>
      </c>
      <c r="H7" s="10">
        <v>0.15</v>
      </c>
      <c r="I7" s="8" t="s">
        <v>256</v>
      </c>
      <c r="J7" s="8"/>
      <c r="K7" s="8"/>
      <c r="L7" s="8"/>
      <c r="M7" s="8"/>
      <c r="N7" s="8"/>
      <c r="O7" s="8"/>
      <c r="P7" s="8"/>
      <c r="Q7" s="9"/>
    </row>
    <row r="8" spans="1:17">
      <c r="A8" s="7" t="s">
        <v>81</v>
      </c>
      <c r="B8" s="8" t="s">
        <v>12</v>
      </c>
      <c r="C8" s="8" t="s">
        <v>82</v>
      </c>
      <c r="D8" s="8" t="s">
        <v>13</v>
      </c>
      <c r="E8" s="8" t="s">
        <v>7</v>
      </c>
      <c r="F8" s="8" t="s">
        <v>83</v>
      </c>
      <c r="G8" s="8" t="s">
        <v>21</v>
      </c>
      <c r="H8" s="10">
        <v>0.1</v>
      </c>
      <c r="I8" s="8" t="s">
        <v>256</v>
      </c>
      <c r="J8" s="8" t="s">
        <v>256</v>
      </c>
      <c r="K8" s="8"/>
      <c r="L8" s="8"/>
      <c r="M8" s="8"/>
      <c r="N8" s="8"/>
      <c r="O8" s="8"/>
      <c r="P8" s="8"/>
      <c r="Q8" s="9"/>
    </row>
    <row r="9" spans="1:17">
      <c r="A9" s="7" t="s">
        <v>85</v>
      </c>
      <c r="B9" s="8" t="s">
        <v>12</v>
      </c>
      <c r="C9" s="8" t="s">
        <v>86</v>
      </c>
      <c r="D9" s="8" t="s">
        <v>9</v>
      </c>
      <c r="E9" s="8" t="s">
        <v>69</v>
      </c>
      <c r="F9" s="8" t="s">
        <v>87</v>
      </c>
      <c r="G9" s="8" t="s">
        <v>88</v>
      </c>
      <c r="H9" s="10">
        <v>0</v>
      </c>
      <c r="I9" s="8"/>
      <c r="J9" s="8" t="s">
        <v>256</v>
      </c>
      <c r="K9" s="8"/>
      <c r="L9" s="8"/>
      <c r="M9" s="8"/>
      <c r="N9" s="8"/>
      <c r="O9" s="8"/>
      <c r="P9" s="8"/>
      <c r="Q9" s="9"/>
    </row>
    <row r="10" spans="1:17">
      <c r="A10" s="7" t="s">
        <v>91</v>
      </c>
      <c r="B10" s="8" t="s">
        <v>12</v>
      </c>
      <c r="C10" s="8" t="s">
        <v>92</v>
      </c>
      <c r="D10" s="8" t="s">
        <v>13</v>
      </c>
      <c r="E10" s="8" t="s">
        <v>83</v>
      </c>
      <c r="F10" s="8" t="s">
        <v>93</v>
      </c>
      <c r="G10" s="8" t="s">
        <v>88</v>
      </c>
      <c r="H10" s="10">
        <v>0</v>
      </c>
      <c r="I10" s="8"/>
      <c r="J10" s="8" t="s">
        <v>256</v>
      </c>
      <c r="K10" s="8"/>
      <c r="L10" s="8"/>
      <c r="M10" s="8"/>
      <c r="N10" s="8"/>
      <c r="O10" s="8"/>
      <c r="P10" s="8"/>
      <c r="Q10" s="9"/>
    </row>
    <row r="11" spans="1:17">
      <c r="A11" s="7" t="s">
        <v>96</v>
      </c>
      <c r="B11" s="8" t="s">
        <v>12</v>
      </c>
      <c r="C11" s="8" t="s">
        <v>97</v>
      </c>
      <c r="D11" s="8" t="s">
        <v>13</v>
      </c>
      <c r="E11" s="8" t="s">
        <v>65</v>
      </c>
      <c r="F11" s="8" t="s">
        <v>98</v>
      </c>
      <c r="G11" s="8" t="s">
        <v>21</v>
      </c>
      <c r="H11" s="10">
        <v>0.35</v>
      </c>
      <c r="I11" s="8"/>
      <c r="J11" s="8" t="s">
        <v>256</v>
      </c>
      <c r="K11" s="8"/>
      <c r="L11" s="8"/>
      <c r="M11" s="8"/>
      <c r="N11" s="8"/>
      <c r="O11" s="8"/>
      <c r="P11" s="8"/>
      <c r="Q11" s="9"/>
    </row>
    <row r="12" spans="1:17">
      <c r="A12" s="7" t="s">
        <v>100</v>
      </c>
      <c r="B12" s="8" t="s">
        <v>12</v>
      </c>
      <c r="C12" s="8" t="s">
        <v>101</v>
      </c>
      <c r="D12" s="8" t="s">
        <v>53</v>
      </c>
      <c r="E12" s="8" t="s">
        <v>87</v>
      </c>
      <c r="F12" s="8" t="s">
        <v>102</v>
      </c>
      <c r="G12" s="8" t="s">
        <v>21</v>
      </c>
      <c r="H12" s="10">
        <v>0.1</v>
      </c>
      <c r="I12" s="8"/>
      <c r="J12" s="8"/>
      <c r="K12" s="8"/>
      <c r="L12" s="8"/>
      <c r="M12" s="8"/>
      <c r="N12" s="8"/>
      <c r="O12" s="8"/>
      <c r="P12" s="8"/>
      <c r="Q12" s="9"/>
    </row>
    <row r="13" spans="1:17">
      <c r="A13" s="7" t="s">
        <v>106</v>
      </c>
      <c r="B13" s="8" t="s">
        <v>12</v>
      </c>
      <c r="C13" s="8" t="s">
        <v>107</v>
      </c>
      <c r="D13" s="8" t="s">
        <v>53</v>
      </c>
      <c r="E13" s="8" t="s">
        <v>108</v>
      </c>
      <c r="F13" s="8" t="s">
        <v>109</v>
      </c>
      <c r="G13" s="8" t="s">
        <v>88</v>
      </c>
      <c r="H13" s="10">
        <v>0</v>
      </c>
      <c r="I13" s="8"/>
      <c r="J13" s="8"/>
      <c r="K13" s="8"/>
      <c r="L13" s="8"/>
      <c r="M13" s="8"/>
      <c r="N13" s="8"/>
      <c r="O13" s="8"/>
      <c r="P13" s="8"/>
      <c r="Q13" s="9"/>
    </row>
    <row r="14" spans="1:17">
      <c r="A14" s="7" t="s">
        <v>112</v>
      </c>
      <c r="B14" s="8" t="s">
        <v>12</v>
      </c>
      <c r="C14" s="8" t="s">
        <v>113</v>
      </c>
      <c r="D14" s="8" t="s">
        <v>53</v>
      </c>
      <c r="E14" s="8" t="s">
        <v>20</v>
      </c>
      <c r="F14" s="8" t="s">
        <v>20</v>
      </c>
      <c r="G14" s="8" t="s">
        <v>88</v>
      </c>
      <c r="H14" s="10">
        <v>0</v>
      </c>
      <c r="I14" s="8"/>
      <c r="J14" s="8"/>
      <c r="K14" s="8" t="s">
        <v>256</v>
      </c>
      <c r="L14" s="8"/>
      <c r="M14" s="8"/>
      <c r="N14" s="8"/>
      <c r="O14" s="8"/>
      <c r="P14" s="8"/>
      <c r="Q14" s="9"/>
    </row>
    <row r="15" spans="1:17">
      <c r="A15" s="7" t="s">
        <v>117</v>
      </c>
      <c r="B15" s="8" t="s">
        <v>16</v>
      </c>
      <c r="C15" s="8" t="s">
        <v>118</v>
      </c>
      <c r="D15" s="8" t="s">
        <v>53</v>
      </c>
      <c r="E15" s="8" t="s">
        <v>52</v>
      </c>
      <c r="F15" s="8" t="s">
        <v>7</v>
      </c>
      <c r="G15" s="8" t="s">
        <v>21</v>
      </c>
      <c r="H15" s="10">
        <v>0.9</v>
      </c>
      <c r="I15" s="8" t="s">
        <v>256</v>
      </c>
      <c r="J15" s="8"/>
      <c r="K15" s="8"/>
      <c r="L15" s="8"/>
      <c r="M15" s="8"/>
      <c r="N15" s="8"/>
      <c r="O15" s="8"/>
      <c r="P15" s="8"/>
      <c r="Q15" s="9"/>
    </row>
    <row r="16" spans="1:17">
      <c r="A16" s="7" t="s">
        <v>121</v>
      </c>
      <c r="B16" s="8" t="s">
        <v>16</v>
      </c>
      <c r="C16" s="8" t="s">
        <v>122</v>
      </c>
      <c r="D16" s="8" t="s">
        <v>9</v>
      </c>
      <c r="E16" s="8" t="s">
        <v>123</v>
      </c>
      <c r="F16" s="8" t="s">
        <v>7</v>
      </c>
      <c r="G16" s="8" t="s">
        <v>21</v>
      </c>
      <c r="H16" s="10">
        <v>0.85</v>
      </c>
      <c r="I16" s="8" t="s">
        <v>256</v>
      </c>
      <c r="J16" s="8"/>
      <c r="K16" s="8"/>
      <c r="L16" s="8"/>
      <c r="M16" s="8"/>
      <c r="N16" s="8"/>
      <c r="O16" s="8"/>
      <c r="P16" s="8"/>
      <c r="Q16" s="9"/>
    </row>
    <row r="17" spans="1:17">
      <c r="A17" s="7" t="s">
        <v>126</v>
      </c>
      <c r="B17" s="8" t="s">
        <v>16</v>
      </c>
      <c r="C17" s="8" t="s">
        <v>127</v>
      </c>
      <c r="D17" s="8" t="s">
        <v>9</v>
      </c>
      <c r="E17" s="8" t="s">
        <v>123</v>
      </c>
      <c r="F17" s="8" t="s">
        <v>7</v>
      </c>
      <c r="G17" s="8" t="s">
        <v>21</v>
      </c>
      <c r="H17" s="10">
        <v>0.65</v>
      </c>
      <c r="I17" s="8" t="s">
        <v>256</v>
      </c>
      <c r="J17" s="8"/>
      <c r="K17" s="8"/>
      <c r="L17" s="8"/>
      <c r="M17" s="8"/>
      <c r="N17" s="8"/>
      <c r="O17" s="8"/>
      <c r="P17" s="8"/>
      <c r="Q17" s="9"/>
    </row>
    <row r="18" spans="1:17">
      <c r="A18" s="7" t="s">
        <v>130</v>
      </c>
      <c r="B18" s="8" t="s">
        <v>16</v>
      </c>
      <c r="C18" s="8" t="s">
        <v>131</v>
      </c>
      <c r="D18" s="8" t="s">
        <v>9</v>
      </c>
      <c r="E18" s="8" t="s">
        <v>123</v>
      </c>
      <c r="F18" s="8" t="s">
        <v>7</v>
      </c>
      <c r="G18" s="8" t="s">
        <v>21</v>
      </c>
      <c r="H18" s="10">
        <v>0.7</v>
      </c>
      <c r="I18" s="8" t="s">
        <v>256</v>
      </c>
      <c r="J18" s="8"/>
      <c r="K18" s="8"/>
      <c r="L18" s="8"/>
      <c r="M18" s="8"/>
      <c r="N18" s="8"/>
      <c r="O18" s="8"/>
      <c r="P18" s="8"/>
      <c r="Q18" s="9"/>
    </row>
    <row r="19" spans="1:17">
      <c r="A19" s="7" t="s">
        <v>135</v>
      </c>
      <c r="B19" s="8" t="s">
        <v>16</v>
      </c>
      <c r="C19" s="8" t="s">
        <v>136</v>
      </c>
      <c r="D19" s="8" t="s">
        <v>9</v>
      </c>
      <c r="E19" s="8" t="s">
        <v>7</v>
      </c>
      <c r="F19" s="8" t="s">
        <v>7</v>
      </c>
      <c r="G19" s="8" t="s">
        <v>54</v>
      </c>
      <c r="H19" s="10">
        <v>1</v>
      </c>
      <c r="I19" s="8" t="s">
        <v>256</v>
      </c>
      <c r="J19" s="8"/>
      <c r="K19" s="8"/>
      <c r="L19" s="8"/>
      <c r="M19" s="8"/>
      <c r="N19" s="8"/>
      <c r="O19" s="8"/>
      <c r="P19" s="8"/>
      <c r="Q19" s="9"/>
    </row>
    <row r="20" spans="1:17">
      <c r="A20" s="7" t="s">
        <v>139</v>
      </c>
      <c r="B20" s="8" t="s">
        <v>16</v>
      </c>
      <c r="C20" s="8" t="s">
        <v>140</v>
      </c>
      <c r="D20" s="8" t="s">
        <v>9</v>
      </c>
      <c r="E20" s="8" t="s">
        <v>83</v>
      </c>
      <c r="F20" s="8" t="s">
        <v>20</v>
      </c>
      <c r="G20" s="8" t="s">
        <v>88</v>
      </c>
      <c r="H20" s="10">
        <v>0</v>
      </c>
      <c r="I20" s="8"/>
      <c r="J20" s="8" t="s">
        <v>256</v>
      </c>
      <c r="K20" s="8" t="s">
        <v>256</v>
      </c>
      <c r="L20" s="8"/>
      <c r="M20" s="8"/>
      <c r="N20" s="8"/>
      <c r="O20" s="8"/>
      <c r="P20" s="8"/>
      <c r="Q20" s="9"/>
    </row>
    <row r="21" spans="1:17">
      <c r="A21" s="7" t="s">
        <v>143</v>
      </c>
      <c r="B21" s="8" t="s">
        <v>16</v>
      </c>
      <c r="C21" s="8" t="s">
        <v>144</v>
      </c>
      <c r="D21" s="8" t="s">
        <v>9</v>
      </c>
      <c r="E21" s="8" t="s">
        <v>20</v>
      </c>
      <c r="F21" s="8" t="s">
        <v>145</v>
      </c>
      <c r="G21" s="8" t="s">
        <v>88</v>
      </c>
      <c r="H21" s="10">
        <v>0</v>
      </c>
      <c r="I21" s="8"/>
      <c r="J21" s="8"/>
      <c r="K21" s="8" t="s">
        <v>256</v>
      </c>
      <c r="L21" s="8" t="s">
        <v>256</v>
      </c>
      <c r="M21" s="8"/>
      <c r="N21" s="8"/>
      <c r="O21" s="8"/>
      <c r="P21" s="8"/>
      <c r="Q21" s="9"/>
    </row>
    <row r="22" spans="1:17">
      <c r="A22" s="7" t="s">
        <v>148</v>
      </c>
      <c r="B22" s="8" t="s">
        <v>16</v>
      </c>
      <c r="C22" s="8" t="s">
        <v>149</v>
      </c>
      <c r="D22" s="8" t="s">
        <v>9</v>
      </c>
      <c r="E22" s="8" t="s">
        <v>150</v>
      </c>
      <c r="F22" s="8" t="s">
        <v>151</v>
      </c>
      <c r="G22" s="8" t="s">
        <v>88</v>
      </c>
      <c r="H22" s="10">
        <v>0</v>
      </c>
      <c r="I22" s="8"/>
      <c r="J22" s="8"/>
      <c r="K22" s="8"/>
      <c r="L22" s="8" t="s">
        <v>256</v>
      </c>
      <c r="M22" s="8"/>
      <c r="N22" s="8"/>
      <c r="O22" s="8"/>
      <c r="P22" s="8"/>
      <c r="Q22" s="9"/>
    </row>
    <row r="23" spans="1:17">
      <c r="A23" s="7" t="s">
        <v>154</v>
      </c>
      <c r="B23" s="8" t="s">
        <v>16</v>
      </c>
      <c r="C23" s="8" t="s">
        <v>155</v>
      </c>
      <c r="D23" s="8" t="s">
        <v>13</v>
      </c>
      <c r="E23" s="8" t="s">
        <v>20</v>
      </c>
      <c r="F23" s="8" t="s">
        <v>156</v>
      </c>
      <c r="G23" s="8" t="s">
        <v>21</v>
      </c>
      <c r="H23" s="10">
        <v>0.05</v>
      </c>
      <c r="I23" s="8"/>
      <c r="J23" s="8"/>
      <c r="K23" s="8" t="s">
        <v>256</v>
      </c>
      <c r="L23" s="8" t="s">
        <v>256</v>
      </c>
      <c r="M23" s="8"/>
      <c r="N23" s="8"/>
      <c r="O23" s="8"/>
      <c r="P23" s="8"/>
      <c r="Q23" s="9"/>
    </row>
    <row r="24" spans="1:17">
      <c r="A24" s="7" t="s">
        <v>159</v>
      </c>
      <c r="B24" s="8" t="s">
        <v>16</v>
      </c>
      <c r="C24" s="8" t="s">
        <v>160</v>
      </c>
      <c r="D24" s="8" t="s">
        <v>9</v>
      </c>
      <c r="E24" s="8" t="s">
        <v>161</v>
      </c>
      <c r="F24" s="8" t="s">
        <v>162</v>
      </c>
      <c r="G24" s="8" t="s">
        <v>88</v>
      </c>
      <c r="H24" s="10">
        <v>0</v>
      </c>
      <c r="I24" s="8"/>
      <c r="J24" s="8"/>
      <c r="K24" s="8"/>
      <c r="L24" s="8"/>
      <c r="M24" s="8" t="s">
        <v>256</v>
      </c>
      <c r="N24" s="8"/>
      <c r="O24" s="8"/>
      <c r="P24" s="8"/>
      <c r="Q24" s="9"/>
    </row>
    <row r="25" spans="1:17">
      <c r="A25" s="7" t="s">
        <v>165</v>
      </c>
      <c r="B25" s="8" t="s">
        <v>16</v>
      </c>
      <c r="C25" s="8" t="s">
        <v>166</v>
      </c>
      <c r="D25" s="8" t="s">
        <v>13</v>
      </c>
      <c r="E25" s="8" t="s">
        <v>167</v>
      </c>
      <c r="F25" s="8" t="s">
        <v>168</v>
      </c>
      <c r="G25" s="8" t="s">
        <v>88</v>
      </c>
      <c r="H25" s="10">
        <v>0</v>
      </c>
      <c r="I25" s="8"/>
      <c r="J25" s="8"/>
      <c r="K25" s="8"/>
      <c r="L25" s="8"/>
      <c r="M25" s="8" t="s">
        <v>256</v>
      </c>
      <c r="N25" s="8" t="s">
        <v>256</v>
      </c>
      <c r="O25" s="8"/>
      <c r="P25" s="8"/>
      <c r="Q25" s="9"/>
    </row>
    <row r="26" spans="1:17">
      <c r="A26" s="7" t="s">
        <v>170</v>
      </c>
      <c r="B26" s="8" t="s">
        <v>16</v>
      </c>
      <c r="C26" s="8" t="s">
        <v>171</v>
      </c>
      <c r="D26" s="8" t="s">
        <v>9</v>
      </c>
      <c r="E26" s="8" t="s">
        <v>172</v>
      </c>
      <c r="F26" s="8" t="s">
        <v>173</v>
      </c>
      <c r="G26" s="8" t="s">
        <v>88</v>
      </c>
      <c r="H26" s="10">
        <v>0</v>
      </c>
      <c r="I26" s="8"/>
      <c r="J26" s="8"/>
      <c r="K26" s="8"/>
      <c r="L26" s="8"/>
      <c r="M26" s="8"/>
      <c r="N26" s="8" t="s">
        <v>256</v>
      </c>
      <c r="O26" s="8" t="s">
        <v>256</v>
      </c>
      <c r="P26" s="8"/>
      <c r="Q26" s="9"/>
    </row>
    <row r="27" spans="1:17">
      <c r="A27" s="7" t="s">
        <v>176</v>
      </c>
      <c r="B27" s="8" t="s">
        <v>16</v>
      </c>
      <c r="C27" s="8" t="s">
        <v>177</v>
      </c>
      <c r="D27" s="8" t="s">
        <v>9</v>
      </c>
      <c r="E27" s="8" t="s">
        <v>178</v>
      </c>
      <c r="F27" s="8" t="s">
        <v>179</v>
      </c>
      <c r="G27" s="8" t="s">
        <v>21</v>
      </c>
      <c r="H27" s="10">
        <v>0.15</v>
      </c>
      <c r="I27" s="8"/>
      <c r="J27" s="8"/>
      <c r="K27" s="8"/>
      <c r="L27" s="8"/>
      <c r="M27" s="8"/>
      <c r="N27" s="8"/>
      <c r="O27" s="8" t="s">
        <v>256</v>
      </c>
      <c r="P27" s="8"/>
      <c r="Q27" s="9"/>
    </row>
    <row r="28" spans="1:17">
      <c r="A28" s="7" t="s">
        <v>182</v>
      </c>
      <c r="B28" s="8" t="s">
        <v>16</v>
      </c>
      <c r="C28" s="8" t="s">
        <v>183</v>
      </c>
      <c r="D28" s="8" t="s">
        <v>13</v>
      </c>
      <c r="E28" s="8" t="s">
        <v>173</v>
      </c>
      <c r="F28" s="8" t="s">
        <v>184</v>
      </c>
      <c r="G28" s="8" t="s">
        <v>88</v>
      </c>
      <c r="H28" s="10">
        <v>0</v>
      </c>
      <c r="I28" s="8"/>
      <c r="J28" s="8"/>
      <c r="K28" s="8"/>
      <c r="L28" s="8"/>
      <c r="M28" s="8"/>
      <c r="N28" s="8"/>
      <c r="O28" s="8"/>
      <c r="P28" s="8" t="s">
        <v>256</v>
      </c>
      <c r="Q28" s="9"/>
    </row>
    <row r="29" spans="1:17">
      <c r="A29" s="7" t="s">
        <v>187</v>
      </c>
      <c r="B29" s="8" t="s">
        <v>16</v>
      </c>
      <c r="C29" s="8" t="s">
        <v>188</v>
      </c>
      <c r="D29" s="8" t="s">
        <v>9</v>
      </c>
      <c r="E29" s="8" t="s">
        <v>189</v>
      </c>
      <c r="F29" s="8" t="s">
        <v>190</v>
      </c>
      <c r="G29" s="8" t="s">
        <v>88</v>
      </c>
      <c r="H29" s="10">
        <v>0</v>
      </c>
      <c r="I29" s="8"/>
      <c r="J29" s="8"/>
      <c r="K29" s="8"/>
      <c r="L29" s="8"/>
      <c r="M29" s="8"/>
      <c r="N29" s="8"/>
      <c r="O29" s="8"/>
      <c r="P29" s="8" t="s">
        <v>256</v>
      </c>
      <c r="Q29" s="9"/>
    </row>
    <row r="30" spans="1:17">
      <c r="A30" s="7" t="s">
        <v>193</v>
      </c>
      <c r="B30" s="8" t="s">
        <v>16</v>
      </c>
      <c r="C30" s="8" t="s">
        <v>194</v>
      </c>
      <c r="D30" s="8" t="s">
        <v>13</v>
      </c>
      <c r="E30" s="8" t="s">
        <v>195</v>
      </c>
      <c r="F30" s="8" t="s">
        <v>196</v>
      </c>
      <c r="G30" s="8" t="s">
        <v>88</v>
      </c>
      <c r="H30" s="10">
        <v>0</v>
      </c>
      <c r="I30" s="8"/>
      <c r="J30" s="8"/>
      <c r="K30" s="8"/>
      <c r="L30" s="8"/>
      <c r="M30" s="8"/>
      <c r="N30" s="8"/>
      <c r="O30" s="8"/>
      <c r="P30" s="8" t="s">
        <v>256</v>
      </c>
      <c r="Q30" s="9"/>
    </row>
    <row r="31" spans="1:17">
      <c r="A31" s="7" t="s">
        <v>199</v>
      </c>
      <c r="B31" s="8" t="s">
        <v>16</v>
      </c>
      <c r="C31" s="8" t="s">
        <v>200</v>
      </c>
      <c r="D31" s="8" t="s">
        <v>13</v>
      </c>
      <c r="E31" s="8" t="s">
        <v>184</v>
      </c>
      <c r="F31" s="8" t="s">
        <v>201</v>
      </c>
      <c r="G31" s="8" t="s">
        <v>21</v>
      </c>
      <c r="H31" s="10">
        <v>0.05</v>
      </c>
      <c r="I31" s="8"/>
      <c r="J31" s="8"/>
      <c r="K31" s="8"/>
      <c r="L31" s="8"/>
      <c r="M31" s="8"/>
      <c r="N31" s="8"/>
      <c r="O31" s="8"/>
      <c r="P31" s="8" t="s">
        <v>256</v>
      </c>
      <c r="Q31" s="9"/>
    </row>
    <row r="32" spans="1:17">
      <c r="A32" s="7" t="s">
        <v>205</v>
      </c>
      <c r="B32" s="8" t="s">
        <v>16</v>
      </c>
      <c r="C32" s="8" t="s">
        <v>206</v>
      </c>
      <c r="D32" s="8" t="s">
        <v>13</v>
      </c>
      <c r="E32" s="8" t="s">
        <v>207</v>
      </c>
      <c r="F32" s="8" t="s">
        <v>201</v>
      </c>
      <c r="G32" s="8" t="s">
        <v>21</v>
      </c>
      <c r="H32" s="10">
        <v>0.25</v>
      </c>
      <c r="I32" s="8"/>
      <c r="J32" s="8"/>
      <c r="K32" s="8"/>
      <c r="L32" s="8"/>
      <c r="M32" s="8"/>
      <c r="N32" s="8" t="s">
        <v>256</v>
      </c>
      <c r="O32" s="8" t="s">
        <v>256</v>
      </c>
      <c r="P32" s="8" t="s">
        <v>256</v>
      </c>
      <c r="Q32" s="9"/>
    </row>
    <row r="33" spans="1:17">
      <c r="A33" s="7" t="s">
        <v>210</v>
      </c>
      <c r="B33" s="8" t="s">
        <v>16</v>
      </c>
      <c r="C33" s="8" t="s">
        <v>211</v>
      </c>
      <c r="D33" s="8" t="s">
        <v>53</v>
      </c>
      <c r="E33" s="8" t="s">
        <v>196</v>
      </c>
      <c r="F33" s="8" t="s">
        <v>23</v>
      </c>
      <c r="G33" s="8" t="s">
        <v>21</v>
      </c>
      <c r="H33" s="10">
        <v>0.05</v>
      </c>
      <c r="I33" s="8"/>
      <c r="J33" s="8"/>
      <c r="K33" s="8"/>
      <c r="L33" s="8"/>
      <c r="M33" s="8"/>
      <c r="N33" s="8"/>
      <c r="O33" s="8"/>
      <c r="P33" s="8"/>
      <c r="Q33" s="9" t="s">
        <v>256</v>
      </c>
    </row>
    <row r="34" spans="1:17">
      <c r="A34" s="11" t="s">
        <v>215</v>
      </c>
      <c r="B34" s="12" t="s">
        <v>16</v>
      </c>
      <c r="C34" s="12" t="s">
        <v>216</v>
      </c>
      <c r="D34" s="12" t="s">
        <v>53</v>
      </c>
      <c r="E34" s="12" t="s">
        <v>23</v>
      </c>
      <c r="F34" s="12" t="s">
        <v>23</v>
      </c>
      <c r="G34" s="12" t="s">
        <v>88</v>
      </c>
      <c r="H34" s="15">
        <v>0</v>
      </c>
      <c r="I34" s="12"/>
      <c r="J34" s="12"/>
      <c r="K34" s="12"/>
      <c r="L34" s="12"/>
      <c r="M34" s="12"/>
      <c r="N34" s="12"/>
      <c r="O34" s="12"/>
      <c r="P34" s="12"/>
      <c r="Q34" s="13" t="s">
        <v>256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8"/>
  <sheetViews>
    <sheetView zoomScaleNormal="100" zoomScaleSheetLayoutView="100" workbookViewId="0"/>
  </sheetViews>
  <sheetFormatPr defaultRowHeight="15"/>
  <cols>
    <col min="1" max="1" width="8.375" customWidth="1"/>
    <col min="2" max="2" width="12.25" customWidth="1"/>
    <col min="3" max="3" width="36.625" customWidth="1"/>
    <col min="4" max="4" width="12.25" customWidth="1"/>
    <col min="5" max="6" width="10" customWidth="1"/>
    <col min="7" max="7" width="47.75" customWidth="1"/>
    <col min="8" max="8" width="27.75" customWidth="1"/>
    <col min="9" max="9" width="12.25" customWidth="1"/>
  </cols>
  <sheetData>
    <row r="1" spans="1:9">
      <c r="A1" s="1" t="s">
        <v>40</v>
      </c>
      <c r="B1" s="2" t="s">
        <v>37</v>
      </c>
      <c r="C1" s="2" t="s">
        <v>257</v>
      </c>
      <c r="D1" s="2" t="s">
        <v>258</v>
      </c>
      <c r="E1" s="2" t="s">
        <v>259</v>
      </c>
      <c r="F1" s="2" t="s">
        <v>260</v>
      </c>
      <c r="G1" s="2" t="s">
        <v>261</v>
      </c>
      <c r="H1" s="2" t="s">
        <v>45</v>
      </c>
      <c r="I1" s="3" t="s">
        <v>46</v>
      </c>
    </row>
    <row r="2" spans="1:9">
      <c r="A2" s="4" t="s">
        <v>262</v>
      </c>
      <c r="B2" s="5" t="s">
        <v>16</v>
      </c>
      <c r="C2" s="5" t="s">
        <v>263</v>
      </c>
      <c r="D2" s="5" t="s">
        <v>264</v>
      </c>
      <c r="E2" s="5" t="s">
        <v>264</v>
      </c>
      <c r="F2" s="5" t="s">
        <v>265</v>
      </c>
      <c r="G2" s="5" t="s">
        <v>266</v>
      </c>
      <c r="H2" s="5" t="s">
        <v>9</v>
      </c>
      <c r="I2" s="6" t="s">
        <v>267</v>
      </c>
    </row>
    <row r="3" spans="1:9">
      <c r="A3" s="7" t="s">
        <v>268</v>
      </c>
      <c r="B3" s="8" t="s">
        <v>16</v>
      </c>
      <c r="C3" s="8" t="s">
        <v>269</v>
      </c>
      <c r="D3" s="8" t="s">
        <v>270</v>
      </c>
      <c r="E3" s="8" t="s">
        <v>264</v>
      </c>
      <c r="F3" s="8" t="s">
        <v>265</v>
      </c>
      <c r="G3" s="8" t="s">
        <v>271</v>
      </c>
      <c r="H3" s="8" t="s">
        <v>9</v>
      </c>
      <c r="I3" s="9" t="s">
        <v>267</v>
      </c>
    </row>
    <row r="4" spans="1:9">
      <c r="A4" s="7" t="s">
        <v>272</v>
      </c>
      <c r="B4" s="8" t="s">
        <v>16</v>
      </c>
      <c r="C4" s="8" t="s">
        <v>273</v>
      </c>
      <c r="D4" s="8" t="s">
        <v>270</v>
      </c>
      <c r="E4" s="8" t="s">
        <v>270</v>
      </c>
      <c r="F4" s="8" t="s">
        <v>274</v>
      </c>
      <c r="G4" s="8" t="s">
        <v>275</v>
      </c>
      <c r="H4" s="8" t="s">
        <v>9</v>
      </c>
      <c r="I4" s="9" t="s">
        <v>267</v>
      </c>
    </row>
    <row r="5" spans="1:9">
      <c r="A5" s="7" t="s">
        <v>276</v>
      </c>
      <c r="B5" s="8" t="s">
        <v>16</v>
      </c>
      <c r="C5" s="8" t="s">
        <v>277</v>
      </c>
      <c r="D5" s="8" t="s">
        <v>264</v>
      </c>
      <c r="E5" s="8" t="s">
        <v>264</v>
      </c>
      <c r="F5" s="8" t="s">
        <v>265</v>
      </c>
      <c r="G5" s="8" t="s">
        <v>278</v>
      </c>
      <c r="H5" s="8" t="s">
        <v>53</v>
      </c>
      <c r="I5" s="9" t="s">
        <v>267</v>
      </c>
    </row>
    <row r="6" spans="1:9">
      <c r="A6" s="7" t="s">
        <v>279</v>
      </c>
      <c r="B6" s="8" t="s">
        <v>12</v>
      </c>
      <c r="C6" s="8" t="s">
        <v>280</v>
      </c>
      <c r="D6" s="8" t="s">
        <v>270</v>
      </c>
      <c r="E6" s="8" t="s">
        <v>264</v>
      </c>
      <c r="F6" s="8" t="s">
        <v>274</v>
      </c>
      <c r="G6" s="8" t="s">
        <v>281</v>
      </c>
      <c r="H6" s="8" t="s">
        <v>13</v>
      </c>
      <c r="I6" s="9" t="s">
        <v>267</v>
      </c>
    </row>
    <row r="7" spans="1:9">
      <c r="A7" s="7" t="s">
        <v>282</v>
      </c>
      <c r="B7" s="8" t="s">
        <v>12</v>
      </c>
      <c r="C7" s="8" t="s">
        <v>283</v>
      </c>
      <c r="D7" s="8" t="s">
        <v>270</v>
      </c>
      <c r="E7" s="8" t="s">
        <v>264</v>
      </c>
      <c r="F7" s="8" t="s">
        <v>274</v>
      </c>
      <c r="G7" s="8" t="s">
        <v>284</v>
      </c>
      <c r="H7" s="8" t="s">
        <v>53</v>
      </c>
      <c r="I7" s="9" t="s">
        <v>267</v>
      </c>
    </row>
    <row r="8" spans="1:9">
      <c r="A8" s="11" t="s">
        <v>285</v>
      </c>
      <c r="B8" s="12" t="s">
        <v>4</v>
      </c>
      <c r="C8" s="12" t="s">
        <v>286</v>
      </c>
      <c r="D8" s="12" t="s">
        <v>264</v>
      </c>
      <c r="E8" s="12" t="s">
        <v>270</v>
      </c>
      <c r="F8" s="12" t="s">
        <v>274</v>
      </c>
      <c r="G8" s="12" t="s">
        <v>287</v>
      </c>
      <c r="H8" s="12" t="s">
        <v>13</v>
      </c>
      <c r="I8" s="13" t="s">
        <v>267</v>
      </c>
    </row>
  </sheetData>
  <conditionalFormatting sqref="F2:F8">
    <cfRule type="containsText" dxfId="0" priority="1" operator="containsText" text="Alto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9"/>
  <sheetViews>
    <sheetView zoomScaleNormal="100" zoomScaleSheetLayoutView="100" workbookViewId="0"/>
  </sheetViews>
  <sheetFormatPr defaultRowHeight="15"/>
  <cols>
    <col min="1" max="1" width="34.5" customWidth="1"/>
    <col min="2" max="3" width="25.5" customWidth="1"/>
    <col min="4" max="4" width="47.75" customWidth="1"/>
  </cols>
  <sheetData>
    <row r="1" spans="1:4">
      <c r="A1" s="1" t="s">
        <v>288</v>
      </c>
      <c r="B1" s="2" t="s">
        <v>9</v>
      </c>
      <c r="C1" s="2" t="s">
        <v>13</v>
      </c>
      <c r="D1" s="3" t="s">
        <v>289</v>
      </c>
    </row>
    <row r="2" spans="1:4">
      <c r="A2" s="4" t="s">
        <v>290</v>
      </c>
      <c r="B2" s="5" t="s">
        <v>291</v>
      </c>
      <c r="C2" s="5" t="s">
        <v>292</v>
      </c>
      <c r="D2" s="6" t="s">
        <v>293</v>
      </c>
    </row>
    <row r="3" spans="1:4">
      <c r="A3" s="7" t="s">
        <v>294</v>
      </c>
      <c r="B3" s="8" t="s">
        <v>291</v>
      </c>
      <c r="C3" s="8" t="s">
        <v>292</v>
      </c>
      <c r="D3" s="9" t="s">
        <v>295</v>
      </c>
    </row>
    <row r="4" spans="1:4">
      <c r="A4" s="7" t="s">
        <v>296</v>
      </c>
      <c r="B4" s="8" t="s">
        <v>292</v>
      </c>
      <c r="C4" s="8" t="s">
        <v>291</v>
      </c>
      <c r="D4" s="9" t="s">
        <v>297</v>
      </c>
    </row>
    <row r="5" spans="1:4">
      <c r="A5" s="7" t="s">
        <v>298</v>
      </c>
      <c r="B5" s="8" t="s">
        <v>291</v>
      </c>
      <c r="C5" s="8" t="s">
        <v>292</v>
      </c>
      <c r="D5" s="9" t="s">
        <v>299</v>
      </c>
    </row>
    <row r="6" spans="1:4">
      <c r="A6" s="7" t="s">
        <v>300</v>
      </c>
      <c r="B6" s="8" t="s">
        <v>291</v>
      </c>
      <c r="C6" s="8" t="s">
        <v>292</v>
      </c>
      <c r="D6" s="9" t="s">
        <v>301</v>
      </c>
    </row>
    <row r="7" spans="1:4">
      <c r="A7" s="7" t="s">
        <v>302</v>
      </c>
      <c r="B7" s="8" t="s">
        <v>292</v>
      </c>
      <c r="C7" s="8" t="s">
        <v>291</v>
      </c>
      <c r="D7" s="9" t="s">
        <v>303</v>
      </c>
    </row>
    <row r="8" spans="1:4">
      <c r="A8" s="7" t="s">
        <v>304</v>
      </c>
      <c r="B8" s="8" t="s">
        <v>305</v>
      </c>
      <c r="C8" s="8" t="s">
        <v>291</v>
      </c>
      <c r="D8" s="9" t="s">
        <v>306</v>
      </c>
    </row>
    <row r="9" spans="1:4">
      <c r="A9" s="11" t="s">
        <v>307</v>
      </c>
      <c r="B9" s="12" t="s">
        <v>305</v>
      </c>
      <c r="C9" s="12" t="s">
        <v>305</v>
      </c>
      <c r="D9" s="13" t="s">
        <v>308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zoomScaleNormal="100" zoomScaleSheetLayoutView="100" workbookViewId="0"/>
  </sheetViews>
  <sheetFormatPr defaultRowHeight="15"/>
  <cols>
    <col min="1" max="1" width="11.625" customWidth="1"/>
    <col min="2" max="3" width="28.875" customWidth="1"/>
    <col min="4" max="4" width="43.375" customWidth="1"/>
    <col min="5" max="5" width="25.5" customWidth="1"/>
    <col min="6" max="6" width="13.375" customWidth="1"/>
    <col min="7" max="7" width="40" customWidth="1"/>
  </cols>
  <sheetData>
    <row r="1" spans="1:7">
      <c r="A1" s="1" t="s">
        <v>309</v>
      </c>
      <c r="B1" s="2" t="s">
        <v>45</v>
      </c>
      <c r="C1" s="2" t="s">
        <v>251</v>
      </c>
      <c r="D1" s="2" t="s">
        <v>310</v>
      </c>
      <c r="E1" s="2" t="s">
        <v>311</v>
      </c>
      <c r="F1" s="2" t="s">
        <v>46</v>
      </c>
      <c r="G1" s="3" t="s">
        <v>312</v>
      </c>
    </row>
    <row r="2" spans="1:7">
      <c r="A2" s="4" t="s">
        <v>52</v>
      </c>
      <c r="B2" s="5" t="s">
        <v>53</v>
      </c>
      <c r="C2" s="5" t="s">
        <v>313</v>
      </c>
      <c r="D2" s="5" t="s">
        <v>314</v>
      </c>
      <c r="E2" s="5" t="s">
        <v>315</v>
      </c>
      <c r="F2" s="5" t="s">
        <v>54</v>
      </c>
      <c r="G2" s="6" t="s">
        <v>316</v>
      </c>
    </row>
    <row r="3" spans="1:7">
      <c r="A3" s="7" t="s">
        <v>7</v>
      </c>
      <c r="B3" s="8" t="s">
        <v>9</v>
      </c>
      <c r="C3" s="8" t="s">
        <v>317</v>
      </c>
      <c r="D3" s="8" t="s">
        <v>318</v>
      </c>
      <c r="E3" s="8" t="s">
        <v>319</v>
      </c>
      <c r="F3" s="8" t="s">
        <v>54</v>
      </c>
      <c r="G3" s="9" t="s">
        <v>320</v>
      </c>
    </row>
    <row r="4" spans="1:7">
      <c r="A4" s="11" t="s">
        <v>7</v>
      </c>
      <c r="B4" s="12" t="s">
        <v>53</v>
      </c>
      <c r="C4" s="12" t="s">
        <v>321</v>
      </c>
      <c r="D4" s="12" t="s">
        <v>322</v>
      </c>
      <c r="E4" s="12" t="s">
        <v>323</v>
      </c>
      <c r="F4" s="12" t="s">
        <v>54</v>
      </c>
      <c r="G4" s="13" t="s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8"/>
  <sheetViews>
    <sheetView zoomScaleNormal="100" zoomScaleSheetLayoutView="100" workbookViewId="0"/>
  </sheetViews>
  <sheetFormatPr defaultRowHeight="15"/>
  <cols>
    <col min="1" max="1" width="16.625" customWidth="1"/>
    <col min="2" max="2" width="50" customWidth="1"/>
    <col min="3" max="3" width="57.75" customWidth="1"/>
  </cols>
  <sheetData>
    <row r="1" spans="1:3">
      <c r="A1" s="1" t="s">
        <v>325</v>
      </c>
      <c r="B1" s="2" t="s">
        <v>326</v>
      </c>
      <c r="C1" s="3" t="s">
        <v>327</v>
      </c>
    </row>
    <row r="2" spans="1:3">
      <c r="A2" s="4" t="s">
        <v>4</v>
      </c>
      <c r="B2" s="5" t="s">
        <v>328</v>
      </c>
      <c r="C2" s="6" t="s">
        <v>329</v>
      </c>
    </row>
    <row r="3" spans="1:3">
      <c r="A3" s="7" t="s">
        <v>12</v>
      </c>
      <c r="B3" s="8" t="s">
        <v>330</v>
      </c>
      <c r="C3" s="9" t="s">
        <v>331</v>
      </c>
    </row>
    <row r="4" spans="1:3">
      <c r="A4" s="7" t="s">
        <v>16</v>
      </c>
      <c r="B4" s="8" t="s">
        <v>332</v>
      </c>
      <c r="C4" s="9" t="s">
        <v>331</v>
      </c>
    </row>
    <row r="5" spans="1:3">
      <c r="A5" s="7" t="s">
        <v>333</v>
      </c>
      <c r="B5" s="8" t="s">
        <v>334</v>
      </c>
      <c r="C5" s="9" t="s">
        <v>335</v>
      </c>
    </row>
    <row r="6" spans="1:3">
      <c r="A6" s="7" t="s">
        <v>336</v>
      </c>
      <c r="B6" s="8" t="s">
        <v>337</v>
      </c>
      <c r="C6" s="9" t="s">
        <v>338</v>
      </c>
    </row>
    <row r="7" spans="1:3">
      <c r="A7" s="7" t="s">
        <v>339</v>
      </c>
      <c r="B7" s="8" t="s">
        <v>340</v>
      </c>
      <c r="C7" s="9" t="s">
        <v>341</v>
      </c>
    </row>
    <row r="8" spans="1:3">
      <c r="A8" s="11" t="s">
        <v>342</v>
      </c>
      <c r="B8" s="12" t="s">
        <v>343</v>
      </c>
      <c r="C8" s="13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Usuario invitado</cp:lastModifiedBy>
  <cp:revision/>
  <dcterms:created xsi:type="dcterms:W3CDTF">2026-06-18T02:59:53Z</dcterms:created>
  <dcterms:modified xsi:type="dcterms:W3CDTF">2026-06-18T02:59:53Z</dcterms:modified>
  <cp:category/>
  <cp:contentStatus/>
</cp:coreProperties>
</file>